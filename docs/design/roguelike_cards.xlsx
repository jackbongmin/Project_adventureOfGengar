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9be967cde7e20d9/문서/GitHub/Project_adventureOfGengar/docs/design/"/>
    </mc:Choice>
  </mc:AlternateContent>
  <xr:revisionPtr revIDLastSave="0" documentId="11_6A8E2E61C581AC075E46E2F021523071AEF1B893" xr6:coauthVersionLast="47" xr6:coauthVersionMax="47" xr10:uidLastSave="{00000000-0000-0000-0000-000000000000}"/>
  <bookViews>
    <workbookView xWindow="-105" yWindow="30" windowWidth="28770" windowHeight="15450" xr2:uid="{00000000-000D-0000-FFFF-FFFF00000000}"/>
  </bookViews>
  <sheets>
    <sheet name="개요" sheetId="1" r:id="rId1"/>
    <sheet name="요약" sheetId="2" r:id="rId2"/>
    <sheet name="등급" sheetId="3" r:id="rId3"/>
    <sheet name="카드 목록" sheetId="4" r:id="rId4"/>
    <sheet name="중첩 규칙" sheetId="5" r:id="rId5"/>
    <sheet name="필살기" sheetId="6" r:id="rId6"/>
    <sheet name="경험치" sheetId="7" r:id="rId7"/>
    <sheet name="상점" sheetId="8" r:id="rId8"/>
    <sheet name="캐릭터 패널" sheetId="9" r:id="rId9"/>
  </sheets>
  <definedNames>
    <definedName name="_xlnm._FilterDatabase" localSheetId="3" hidden="1">'카드 목록'!$A$1:$N$50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8" l="1"/>
  <c r="B12" i="8"/>
  <c r="B11" i="8"/>
  <c r="B10" i="8"/>
  <c r="B9" i="8"/>
  <c r="B8" i="8"/>
  <c r="C8" i="8" s="1"/>
  <c r="C9" i="8" s="1"/>
  <c r="C10" i="8" s="1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C10" i="7" s="1"/>
  <c r="C11" i="7" s="1"/>
  <c r="C12" i="7" s="1"/>
  <c r="C13" i="7" s="1"/>
  <c r="C14" i="7" s="1"/>
  <c r="C15" i="7" s="1"/>
  <c r="C16" i="7" s="1"/>
  <c r="C17" i="7" s="1"/>
  <c r="C18" i="7" s="1"/>
  <c r="D8" i="7"/>
  <c r="C8" i="7"/>
  <c r="F7" i="7"/>
  <c r="F8" i="7" s="1"/>
  <c r="E7" i="7"/>
  <c r="F6" i="7"/>
  <c r="E6" i="7"/>
  <c r="F5" i="7"/>
  <c r="E5" i="7"/>
  <c r="F4" i="7"/>
  <c r="E4" i="7"/>
  <c r="E14" i="6"/>
  <c r="D14" i="6"/>
  <c r="B14" i="6"/>
  <c r="E13" i="6"/>
  <c r="D13" i="6"/>
  <c r="B13" i="6"/>
  <c r="E12" i="6"/>
  <c r="D12" i="6"/>
  <c r="B12" i="6"/>
  <c r="E11" i="6"/>
  <c r="D11" i="6"/>
  <c r="B11" i="6"/>
  <c r="I8" i="3"/>
  <c r="H8" i="3"/>
  <c r="G8" i="3"/>
  <c r="F8" i="3"/>
  <c r="B18" i="2"/>
  <c r="B17" i="2"/>
  <c r="B16" i="2"/>
  <c r="B15" i="2"/>
  <c r="B13" i="2"/>
  <c r="B12" i="2"/>
  <c r="E9" i="2"/>
  <c r="D9" i="2"/>
  <c r="C9" i="2"/>
  <c r="B9" i="2"/>
  <c r="F9" i="2" s="1"/>
  <c r="E8" i="2"/>
  <c r="D8" i="2"/>
  <c r="C8" i="2"/>
  <c r="B8" i="2"/>
  <c r="F8" i="2" s="1"/>
  <c r="E7" i="2"/>
  <c r="D7" i="2"/>
  <c r="C7" i="2"/>
  <c r="B7" i="2"/>
  <c r="E6" i="2"/>
  <c r="D6" i="2"/>
  <c r="C6" i="2"/>
  <c r="B6" i="2"/>
  <c r="F6" i="2" s="1"/>
  <c r="E5" i="2"/>
  <c r="D5" i="2"/>
  <c r="C5" i="2"/>
  <c r="B5" i="2"/>
  <c r="F5" i="2" s="1"/>
  <c r="E4" i="2"/>
  <c r="D4" i="2"/>
  <c r="C4" i="2"/>
  <c r="B4" i="2"/>
  <c r="C19" i="7" l="1"/>
  <c r="C20" i="7" s="1"/>
  <c r="C21" i="7" s="1"/>
  <c r="C22" i="7" s="1"/>
  <c r="C23" i="7" s="1"/>
  <c r="C24" i="7" s="1"/>
  <c r="F4" i="2"/>
  <c r="F10" i="2" s="1"/>
  <c r="F7" i="2"/>
  <c r="E8" i="7"/>
  <c r="I12" i="7" s="1"/>
  <c r="I13" i="7" s="1"/>
  <c r="I14" i="7" s="1"/>
  <c r="I16" i="7" s="1"/>
  <c r="C10" i="2"/>
  <c r="D10" i="2"/>
  <c r="E10" i="2"/>
  <c r="G8" i="8"/>
  <c r="H8" i="8" s="1"/>
  <c r="F9" i="8" s="1"/>
  <c r="C11" i="8"/>
  <c r="C12" i="8" s="1"/>
  <c r="C13" i="8" s="1"/>
  <c r="I10" i="7"/>
  <c r="I11" i="7" s="1"/>
  <c r="B10" i="2"/>
  <c r="G9" i="8" l="1"/>
  <c r="H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기획</author>
  </authors>
  <commentList>
    <comment ref="F1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능력치 = 같은 카드가 최대 중첩까지 다시 나온다 / 특수 = 한 번 얻으면 다시 안 나온다 / 특수(중첩) = 특수 능력이지만 단계가 쌓인다 (투사체 수, 대시 칸 등) / 소모 = 즉시 효과, 몇 번이든 나온다. 서로 다른 특수 능력은 전부 함께 적용된다 ('중첩 규칙' 시트).</t>
        </r>
      </text>
    </comment>
    <comment ref="I1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99 = 제한 없음(소모형 카드). 특수 카드는 1. 파란 글씨는 조정 가능한 임시값.</t>
        </r>
      </text>
    </comment>
    <comment ref="L1" authorId="0" shapeId="0" xr:uid="{00000000-0006-0000-0300-000003000000}">
      <text>
        <r>
          <rPr>
            <sz val="11"/>
            <color theme="1"/>
            <rFont val="맑은 고딕"/>
            <family val="2"/>
            <scheme val="minor"/>
          </rPr>
          <t>사용자 = 직접 제안한 아이디어(굵게 표시), 기존 상점 = 지금 상점 업그레이드를 카드로 옮긴 것, 기획 추가 = 기본으로 채운 카드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기획</author>
  </authors>
  <commentList>
    <comment ref="F8" authorId="0" shapeId="0" xr:uid="{00000000-0006-0000-0700-000001000000}">
      <text>
        <r>
          <rPr>
            <sz val="11"/>
            <color theme="1"/>
            <rFont val="맑은 고딕"/>
            <family val="2"/>
            <scheme val="minor"/>
          </rPr>
          <t>스테이지 1 코인: 아치 4x5 + 발판 6x4 + 바닥 17 = 61 (콤보 보너스 제외)</t>
        </r>
      </text>
    </comment>
    <comment ref="F9" authorId="0" shapeId="0" xr:uid="{00000000-0006-0000-0700-000002000000}">
      <text>
        <r>
          <rPr>
            <sz val="11"/>
            <color theme="1"/>
            <rFont val="맑은 고딕"/>
            <family val="2"/>
            <scheme val="minor"/>
          </rPr>
          <t>스테이지 2 코인: 아치 6x5 + 발판 7x4 + 바닥 10 = 68</t>
        </r>
      </text>
    </comment>
  </commentList>
</comments>
</file>

<file path=xl/sharedStrings.xml><?xml version="1.0" encoding="utf-8"?>
<sst xmlns="http://schemas.openxmlformats.org/spreadsheetml/2006/main" count="895" uniqueCount="605">
  <si>
    <t>로그라이크 카드 시스템 기획 (초안)</t>
  </si>
  <si>
    <t>목표</t>
  </si>
  <si>
    <t>적을 처치해 경험치를 모으고, 레벨업할 때마다 카드 3장 중 1장을 골라 그 판의 빌드를 만든다. 기존 상점의 '능력치 직접 구매'는 '카드 뽑기 기회 구매'로 바꾼다.</t>
  </si>
  <si>
    <t>경험치 바</t>
  </si>
  <si>
    <t>HUD 상단(하트 줄 아래)에 얇은 경험치 바 + 'LV 3'. 적 처치 시 경험치 획득 (적별 수치는 '경험치' 시트). 레벨은 한 판 동안 유지, 사망 후 재도전 시 스테이지 시작 시점으로 되돌린다(코인과 같은 규칙).</t>
  </si>
  <si>
    <t>레벨업 화면</t>
  </si>
  <si>
    <t>레벨업 순간 게임을 멈추고 카드 3장을 펼친다. ←→로 고르고 Z/Enter로 확정. 카드 = 등급 테두리 + 아이콘(도트) + 이름(영문 픽셀 폰트) + 효과 한 줄 + 현재 단계 칸(Lv 1/3). 한 프레임에 여러 레벨이 오르면 화면을 연달아 띄운다.</t>
  </si>
  <si>
    <t>카드 제시 규칙</t>
  </si>
  <si>
    <t>① 3장 서로 다른 카드 ② 이미 가진 특수 카드, 최대 중첩에 도달한 능력치·특수(중첩) 카드, 선행 조건을 못 채운 카드, 이미 가진 필살기보다 낮은 등급의 필살기 카드는 제외 ③ 같은 분류는 최대 2장 ④ 등급은 '등급' 시트 확률로 먼저 뽑고, 그 등급 안에서 카드를 고른다 ⑤ 해당 등급에 남은 카드가 없으면 한 단계 아래 등급으로.</t>
  </si>
  <si>
    <t>등급</t>
  </si>
  <si>
    <t>일반 / 희귀 / 영웅 / 전설 4단계. 등급마다 카드 테두리 색과 연출이 다르다. 전설 확률은 스테이지 1/2/3에서 6% / 8% / 10%. ('등급' 시트)</t>
  </si>
  <si>
    <t>카드 중복</t>
  </si>
  <si>
    <t>능력치 카드는 최대 단계까지 다시 나온다. 특수 능력 카드는 한 번만 얻는다 (단, 투사체 수·대시 칸처럼 개수로 쌓이는 특수 능력은 예외). 서로 다른 특수 능력은 모두 함께 적용된다. ('중첩 규칙' 시트)</t>
  </si>
  <si>
    <t>상점</t>
  </si>
  <si>
    <t>스테이지 클리어 후 상점은 '카드 뽑기 기회' 구매 화면이 된다. 가격은 1회 50코인 고정 (확정). 상점에서 뽑는 카드는 희귀 이상 1장 보장. ('상점' 시트)</t>
  </si>
  <si>
    <t>캐릭터 패널</t>
  </si>
  <si>
    <t>상점 화면 왼쪽(또는 일시정지 화면)에 현재 능력치를 아이콘 + 숫자로, 얻은 특수 카드를 16x16 아이콘 격자로 보여 준다. ('캐릭터 패널' 시트)</t>
  </si>
  <si>
    <t>기존 동작 변경 (확정)</t>
  </si>
  <si>
    <t>현재 대시는 기본으로 무적이다(Player.cpp: 대시 중 피격 무시). 기획상 기본 대시는 무적이 아니고, '무적 대시' 카드(영웅)로 얻는다. 대신 기본 대시에 '대시 칸' 1개를 HUD에 표시하고, 칸이 차면 다시 쓸 수 있게 한다.</t>
  </si>
  <si>
    <t>게임 내 표기</t>
  </si>
  <si>
    <t>픽셀 폰트가 영문 대문자/숫자만 지원하므로 카드 이름과 효과 문구는 '게임 표기' 열의 영문을 쓴다. 한글 이름은 기획용.</t>
  </si>
  <si>
    <t>파일 보는 법</t>
  </si>
  <si>
    <t>'카드 목록'이 본 표다. 등급/분류 열은 목록에서 고르고, 필터로 등급별·분류별로 볼 수 있다. 파란 글씨 = 조정할 수 있는 입력값, 노란 칸 = 결정이 필요한 값. '요약' 시트는 카드 수를 자동으로 센다.</t>
  </si>
  <si>
    <t>보스전 (확정)</t>
  </si>
  <si>
    <t>보스전에서는 경험치·레벨업 화면이 없다. 대신 보스 체력이 66%, 33% 아래로 내려갈 때(패턴 단계가 바뀔 때) 카드 1장씩, 총 2장을 고른다. 단계 전환 연출 중에 띄워서 전투 템포를 끊지 않는다. 확률은 스테이지 3 열을 쓴다.</t>
  </si>
  <si>
    <t>열린 질문</t>
  </si>
  <si>
    <t>사망 후 재도전 시 그 스테이지에서 얻은 카드도 되돌릴지 — 제안: 되돌림 (코인과 같은 규칙)</t>
  </si>
  <si>
    <t>카드 수 요약 (카드 목록에서 자동 계산)</t>
  </si>
  <si>
    <t>분류 \ 등급</t>
  </si>
  <si>
    <t>일반</t>
  </si>
  <si>
    <t>희귀</t>
  </si>
  <si>
    <t>영웅</t>
  </si>
  <si>
    <t>전설</t>
  </si>
  <si>
    <t>합계</t>
  </si>
  <si>
    <t>공격</t>
  </si>
  <si>
    <t>방어</t>
  </si>
  <si>
    <t>이동</t>
  </si>
  <si>
    <t>대시</t>
  </si>
  <si>
    <t>필살기</t>
  </si>
  <si>
    <t>특수</t>
  </si>
  <si>
    <t>사용자 제안 카드 수</t>
  </si>
  <si>
    <t>기존 상점에서 옮긴 카드</t>
  </si>
  <si>
    <t>능력치 카드 수</t>
  </si>
  <si>
    <t>특수 카드 수</t>
  </si>
  <si>
    <t>특수(중첩) 카드 수</t>
  </si>
  <si>
    <t>소모 카드 수</t>
  </si>
  <si>
    <t>등급별 테두리와 출현 확률</t>
  </si>
  <si>
    <t>영문</t>
  </si>
  <si>
    <t>테두리 색(HEX)</t>
  </si>
  <si>
    <t>색 미리보기</t>
  </si>
  <si>
    <t>테두리 연출</t>
  </si>
  <si>
    <t>스테이지 1 확률</t>
  </si>
  <si>
    <t>스테이지 2 확률</t>
  </si>
  <si>
    <t>스테이지 3 (보스전) 확률</t>
  </si>
  <si>
    <t>행운 카드 1단계당 보정(%p)</t>
  </si>
  <si>
    <t>COMMON</t>
  </si>
  <si>
    <t>#9AA0B5</t>
  </si>
  <si>
    <t>회색 2px 단색 테두리</t>
  </si>
  <si>
    <t>RARE</t>
  </si>
  <si>
    <t>#4FA3FF</t>
  </si>
  <si>
    <t>파랑 2px + 모서리 도트 장식</t>
  </si>
  <si>
    <t>EPIC</t>
  </si>
  <si>
    <t>#E05CFF</t>
  </si>
  <si>
    <t>마젠타 3px + 테두리 위를 빛 한 점이 천천히 돈다</t>
  </si>
  <si>
    <t>LEGEND</t>
  </si>
  <si>
    <t>#FFC93C</t>
  </si>
  <si>
    <t>금색 3px + 반짝임 파티클, 카드가 열릴 때 화면 흰색 플래시</t>
  </si>
  <si>
    <t>합계 (100%여야 함)</t>
  </si>
  <si>
    <t>메모</t>
  </si>
  <si>
    <t>· 확률은 먼저 등급을 뽑는 데 쓴다. 카드 3장 각각 따로 뽑는다.</t>
  </si>
  <si>
    <t>· 사용자 요청: 전설 확률을 스테이지 1/2/3에서 6% / 8% / 10%로. 나머지 등급도 같이 올려서 일반이 절반 아래가 되게 했다 (게임이 늘어지지 않도록).</t>
  </si>
  <si>
    <t>· 상점 뽑기는 방금 끝낸 스테이지의 확률 + '희귀 이상 1장 보장'. 3장이 모두 일반으로 나오면 1장을 희귀로 다시 뽑는다.</t>
  </si>
  <si>
    <t>· 스테이지 3(보스전)은 레벨업 대신 보스 체력 단계가 바뀔 때 카드를 준다 ('경험치' 시트).</t>
  </si>
  <si>
    <t>· 행운(LUCK) 카드 1단계마다 일반 -5%p, 희귀 +2%p, 영웅 +2%p, 전설 +1%p. (보정 합계가 0이라 전체 합은 100% 유지)</t>
  </si>
  <si>
    <t>· 영웅 테두리는 배경이 보라 계열이라 보라 대신 밝은 마젠타로 잡았다. 실제 화면에서 보고 조정.</t>
  </si>
  <si>
    <t>· 확률 값(파란 글씨)은 임시값이다. 플레이테스트 후 조정.</t>
  </si>
  <si>
    <t>ID</t>
  </si>
  <si>
    <t>카드 이름</t>
  </si>
  <si>
    <t>게임 표기</t>
  </si>
  <si>
    <t>분류</t>
  </si>
  <si>
    <t>종류</t>
  </si>
  <si>
    <t>효과</t>
  </si>
  <si>
    <t>1회당 수치</t>
  </si>
  <si>
    <t>최대 중첩</t>
  </si>
  <si>
    <t>선행 조건</t>
  </si>
  <si>
    <t>아이콘 아이디어</t>
  </si>
  <si>
    <t>출처</t>
  </si>
  <si>
    <t>구현 난이도</t>
  </si>
  <si>
    <t>비고</t>
  </si>
  <si>
    <t>A01</t>
  </si>
  <si>
    <t>공격력 강화</t>
  </si>
  <si>
    <t>ATTACK UP</t>
  </si>
  <si>
    <t>능력치</t>
  </si>
  <si>
    <t>섀도우볼 피해 증가 (공이 커지는 연출 유지)</t>
  </si>
  <si>
    <t>피해 +1</t>
  </si>
  <si>
    <t>주먹 / 보라 공</t>
  </si>
  <si>
    <t>기존 상점</t>
  </si>
  <si>
    <t>하</t>
  </si>
  <si>
    <t>기존 공격력 업그레이드(최대 4)를 5로</t>
  </si>
  <si>
    <t>A02</t>
  </si>
  <si>
    <t>연사 강화</t>
  </si>
  <si>
    <t>FIRE RATE</t>
  </si>
  <si>
    <t>발사 간격 감소</t>
  </si>
  <si>
    <t>간격 -15%</t>
  </si>
  <si>
    <t>공 2개 겹침</t>
  </si>
  <si>
    <t>A03</t>
  </si>
  <si>
    <t>사거리 증가</t>
  </si>
  <si>
    <t>RANGE UP</t>
  </si>
  <si>
    <t>섀도우볼이 더 멀리 날아감</t>
  </si>
  <si>
    <t>수명 +20%</t>
  </si>
  <si>
    <t>화살표 →→</t>
  </si>
  <si>
    <t>기획 추가</t>
  </si>
  <si>
    <t>A04</t>
  </si>
  <si>
    <t>탄속 증가</t>
  </si>
  <si>
    <t>SHOT SPEED</t>
  </si>
  <si>
    <t>섀도우볼이 더 빨리 날아감</t>
  </si>
  <si>
    <t>속도 +20%</t>
  </si>
  <si>
    <t>속도선이 붙은 공</t>
  </si>
  <si>
    <t>A05</t>
  </si>
  <si>
    <t>넉백 강화</t>
  </si>
  <si>
    <t>KNOCKBACK</t>
  </si>
  <si>
    <t>맞은 적이 더 멀리 밀려남</t>
  </si>
  <si>
    <t>넉백 +50%</t>
  </si>
  <si>
    <t>튕겨 나가는 슬라임</t>
  </si>
  <si>
    <t>A07</t>
  </si>
  <si>
    <t>치명타</t>
  </si>
  <si>
    <t>CRITICAL</t>
  </si>
  <si>
    <t>일정 확률로 2배 피해 + 노란 숫자</t>
  </si>
  <si>
    <t>확률 +15%</t>
  </si>
  <si>
    <t>번개 / 별</t>
  </si>
  <si>
    <t>최대 45%</t>
  </si>
  <si>
    <t>A06</t>
  </si>
  <si>
    <t>관통</t>
  </si>
  <si>
    <t>PIERCE</t>
  </si>
  <si>
    <t>특수(중첩)</t>
  </si>
  <si>
    <t>적을 맞혀도 사라지지 않고 다음 적까지 관통</t>
  </si>
  <si>
    <t>관통 +1명</t>
  </si>
  <si>
    <t>공이 박스를 뚫음</t>
  </si>
  <si>
    <t>중</t>
  </si>
  <si>
    <t>관통한 적은 같은 공에 다시 안 맞게 기록</t>
  </si>
  <si>
    <t>A08</t>
  </si>
  <si>
    <t>후방 사격</t>
  </si>
  <si>
    <t>BACK SHOT</t>
  </si>
  <si>
    <t>뒤쪽으로도 같은 공을 발사 (피해 50%)</t>
  </si>
  <si>
    <t>뒤로 발사</t>
  </si>
  <si>
    <t>양쪽 화살표</t>
  </si>
  <si>
    <t>멀티샷과 겹치면 뒤로도 같은 수만큼</t>
  </si>
  <si>
    <t>A09</t>
  </si>
  <si>
    <t>처형자</t>
  </si>
  <si>
    <t>EXECUTE</t>
  </si>
  <si>
    <t>체력 30% 이하인 적에게 피해 증가</t>
  </si>
  <si>
    <t>피해 +50%</t>
  </si>
  <si>
    <t>해골</t>
  </si>
  <si>
    <t>보스에게도 적용</t>
  </si>
  <si>
    <t>A10</t>
  </si>
  <si>
    <t>멀티샷</t>
  </si>
  <si>
    <t>MULTI SHOT</t>
  </si>
  <si>
    <t>한 번에 발사하는 섀도우볼 수 증가 (부채꼴)</t>
  </si>
  <si>
    <t>투사체 +1</t>
  </si>
  <si>
    <t>공 3개 부채꼴</t>
  </si>
  <si>
    <t>사용자 + 기존 상점</t>
  </si>
  <si>
    <t>사용자: 전설 바로 아래 등급. 중첩 가능한 특수 능력. 이미 구현됨(ShotCount)</t>
  </si>
  <si>
    <t>A11</t>
  </si>
  <si>
    <t>튕기는 탄</t>
  </si>
  <si>
    <t>BOUNCE</t>
  </si>
  <si>
    <t>벽이나 바닥에 닿으면 1번 튕겨서 계속 날아감</t>
  </si>
  <si>
    <t>튕김 +1</t>
  </si>
  <si>
    <t>지그재그 공</t>
  </si>
  <si>
    <t>타일 충돌 시 반사</t>
  </si>
  <si>
    <t>A12</t>
  </si>
  <si>
    <t>폭발탄</t>
  </si>
  <si>
    <t>BURST SHOT</t>
  </si>
  <si>
    <t>적중 지점에 폭발 (반경 40px, 피해 50%)</t>
  </si>
  <si>
    <t>폭발</t>
  </si>
  <si>
    <t>터지는 별</t>
  </si>
  <si>
    <t>기존 Effects.Burst 재사용</t>
  </si>
  <si>
    <t>A13</t>
  </si>
  <si>
    <t>저주탄</t>
  </si>
  <si>
    <t>CURSE</t>
  </si>
  <si>
    <t>맞은 적이 3초 동안 받는 모든 피해 증가 (보라 표식)</t>
  </si>
  <si>
    <t>받는 피해 +25%</t>
  </si>
  <si>
    <t>보라 눈</t>
  </si>
  <si>
    <t>A14</t>
  </si>
  <si>
    <t>유도탄</t>
  </si>
  <si>
    <t>HOMING</t>
  </si>
  <si>
    <t>섀도우볼이 가장 가까운 적을 향해 휘어서 날아감. 대신 공격력 -1 (최소 1)</t>
  </si>
  <si>
    <t>유도 / 공격력 -1</t>
  </si>
  <si>
    <t>휘어진 화살표 + 과녁</t>
  </si>
  <si>
    <t>사용자</t>
  </si>
  <si>
    <t>사용자: 전설 카드. 밸런스: 맞히기 쉬운 대신 공격력 -1 (최소 1)</t>
  </si>
  <si>
    <t>A15</t>
  </si>
  <si>
    <t>분열탄</t>
  </si>
  <si>
    <t>SPLIT</t>
  </si>
  <si>
    <t>적중 시 작은 공 3개로 갈라져 주변 적을 공격 (피해 40%)</t>
  </si>
  <si>
    <t>분열 3개</t>
  </si>
  <si>
    <t>공이 셋으로 갈라짐</t>
  </si>
  <si>
    <t>분열한 공은 다시 분열하지 않음</t>
  </si>
  <si>
    <t>A16</t>
  </si>
  <si>
    <t>차지샷</t>
  </si>
  <si>
    <t>CHARGE SHOT</t>
  </si>
  <si>
    <t>Z를 1초 누르고 떼면 3배 크기·3배 피해의 관통 공 발사</t>
  </si>
  <si>
    <t>차지</t>
  </si>
  <si>
    <t>커다란 공 + 게이지</t>
  </si>
  <si>
    <t>상</t>
  </si>
  <si>
    <t>누르고 있는 동안 연사는 멈춤. 조작 변화가 커서 전설</t>
  </si>
  <si>
    <t>D01</t>
  </si>
  <si>
    <t>최대 하트</t>
  </si>
  <si>
    <t>MAX HEART</t>
  </si>
  <si>
    <t>최대 하트 +1 (그 하트도 채워 줌)</t>
  </si>
  <si>
    <t>하트 +1</t>
  </si>
  <si>
    <t>하트</t>
  </si>
  <si>
    <t>D02</t>
  </si>
  <si>
    <t>회복</t>
  </si>
  <si>
    <t>HEAL</t>
  </si>
  <si>
    <t>소모</t>
  </si>
  <si>
    <t>즉시 하트 2개 회복</t>
  </si>
  <si>
    <t>회복 2</t>
  </si>
  <si>
    <t>하트가 가득 차 있지 않을 것</t>
  </si>
  <si>
    <t>하트 + 십자</t>
  </si>
  <si>
    <t>소모형. 하트가 가득이면 제시하지 않음</t>
  </si>
  <si>
    <t>D03</t>
  </si>
  <si>
    <t>무적 시간 증가</t>
  </si>
  <si>
    <t>LONG GUARD</t>
  </si>
  <si>
    <t>피격 후 무적 시간 증가</t>
  </si>
  <si>
    <t>무적 +50%</t>
  </si>
  <si>
    <t>깜빡이는 유령</t>
  </si>
  <si>
    <t>D04</t>
  </si>
  <si>
    <t>영혼 흡수</t>
  </si>
  <si>
    <t>SOUL DRAIN</t>
  </si>
  <si>
    <t>적 12마리를 처치할 때마다 하트 1개 회복</t>
  </si>
  <si>
    <t>12킬당 1</t>
  </si>
  <si>
    <t>하트로 빨려드는 영혼</t>
  </si>
  <si>
    <t>D05</t>
  </si>
  <si>
    <t>가시 반격</t>
  </si>
  <si>
    <t>THORNS</t>
  </si>
  <si>
    <t>몸통으로 부딪힌 적에게 피해 3</t>
  </si>
  <si>
    <t>반격 3</t>
  </si>
  <si>
    <t>가시 달린 하트</t>
  </si>
  <si>
    <t>D06</t>
  </si>
  <si>
    <t>그림자 보호막</t>
  </si>
  <si>
    <t>SHIELD</t>
  </si>
  <si>
    <t>스테이지마다 피해 1번을 막아 줌 (몸 주위 보라 막)</t>
  </si>
  <si>
    <t>1회/스테이지</t>
  </si>
  <si>
    <t>방패</t>
  </si>
  <si>
    <t>D07</t>
  </si>
  <si>
    <t>추가 목숨</t>
  </si>
  <si>
    <t>EXTRA LIFE</t>
  </si>
  <si>
    <t>목숨 +1</t>
  </si>
  <si>
    <t>유령 + 1UP</t>
  </si>
  <si>
    <t>M01</t>
  </si>
  <si>
    <t>이동 속도</t>
  </si>
  <si>
    <t>MOVE SPEED</t>
  </si>
  <si>
    <t>달리는 속도 증가</t>
  </si>
  <si>
    <t>+0.45px/프레임</t>
  </si>
  <si>
    <t>신발</t>
  </si>
  <si>
    <t>M02</t>
  </si>
  <si>
    <t>점프력</t>
  </si>
  <si>
    <t>JUMP UP</t>
  </si>
  <si>
    <t>점프 높이 증가</t>
  </si>
  <si>
    <t>점프 +8%</t>
  </si>
  <si>
    <t>위 화살표</t>
  </si>
  <si>
    <t>발판 배치를 건너뛰지 않도록 2단계까지만</t>
  </si>
  <si>
    <t>M03</t>
  </si>
  <si>
    <t>다단 점프</t>
  </si>
  <si>
    <t>AIR JUMP</t>
  </si>
  <si>
    <t>공중에서 한 번 더 점프 (2단계 = 삼단 점프)</t>
  </si>
  <si>
    <t>공중 점프 +1</t>
  </si>
  <si>
    <t>구름 위 화살표</t>
  </si>
  <si>
    <t>기존 이단 점프(최대 1)를 2로</t>
  </si>
  <si>
    <t>M04</t>
  </si>
  <si>
    <t>유령 부유</t>
  </si>
  <si>
    <t>FLOAT</t>
  </si>
  <si>
    <t>공중에서 점프 키를 누르고 있으면 천천히 떨어짐</t>
  </si>
  <si>
    <t>낙하 -50%</t>
  </si>
  <si>
    <t>깃털 / 흔들리는 꼬리</t>
  </si>
  <si>
    <t>겐가 테마에 맞는 이동기</t>
  </si>
  <si>
    <t>S01</t>
  </si>
  <si>
    <t>대시 거리</t>
  </si>
  <si>
    <t>DASH RANGE</t>
  </si>
  <si>
    <t>대시로 이동하는 거리 증가</t>
  </si>
  <si>
    <t>거리 +25%</t>
  </si>
  <si>
    <t>긴 잔상</t>
  </si>
  <si>
    <t>S02</t>
  </si>
  <si>
    <t>대시 충전</t>
  </si>
  <si>
    <t>DASH RECHARGE</t>
  </si>
  <si>
    <t>빈 대시 칸이 다시 차는 시간 감소</t>
  </si>
  <si>
    <t>충전 -20%</t>
  </si>
  <si>
    <t>시계 + 칸</t>
  </si>
  <si>
    <t>기본 충전 시간 약 0.6초</t>
  </si>
  <si>
    <t>S03</t>
  </si>
  <si>
    <t>대시 칸 추가</t>
  </si>
  <si>
    <t>DASH CHARGE</t>
  </si>
  <si>
    <t>대시 칸 +1 (연속으로 대시 가능, HUD에 칸 표시)</t>
  </si>
  <si>
    <t>대시 칸 +1</t>
  </si>
  <si>
    <t>칸 3개</t>
  </si>
  <si>
    <t>사용자: 대시 가능 칸 + 횟수 증가. 기본 1칸 → 최대 3칸. 중첩 가능한 특수 능력</t>
  </si>
  <si>
    <t>S04</t>
  </si>
  <si>
    <t>공중 대시</t>
  </si>
  <si>
    <t>AIR DASH</t>
  </si>
  <si>
    <t>착지 전 공중 대시 가능 횟수 +1</t>
  </si>
  <si>
    <t>공중 +1</t>
  </si>
  <si>
    <t>날개 + 잔상</t>
  </si>
  <si>
    <t>대시 칸과 별개 제한 (지금은 공중 1번)</t>
  </si>
  <si>
    <t>S05</t>
  </si>
  <si>
    <t>무적 대시</t>
  </si>
  <si>
    <t>PHASE DASH</t>
  </si>
  <si>
    <t>대시하는 동안 모든 피해를 무시하고 적을 통과</t>
  </si>
  <si>
    <t>대시 무적</t>
  </si>
  <si>
    <t>반투명 유령</t>
  </si>
  <si>
    <t>확정: 기본 대시는 무적이 아니다. 지금 코드의 기본 무적을 이 카드로 옮긴다</t>
  </si>
  <si>
    <t>S06</t>
  </si>
  <si>
    <t>그림자 돌진</t>
  </si>
  <si>
    <t>SHADOW RUSH</t>
  </si>
  <si>
    <t>대시로 통과한 적에게 피해 (공격력 x2)</t>
  </si>
  <si>
    <t>돌진 피해</t>
  </si>
  <si>
    <t>칼날 잔상</t>
  </si>
  <si>
    <t>무적 대시와 시너지 (선행 조건은 두지 않음)</t>
  </si>
  <si>
    <t>S07</t>
  </si>
  <si>
    <t>잔상 폭발</t>
  </si>
  <si>
    <t>AFTERIMAGE</t>
  </si>
  <si>
    <t>대시를 시작한 자리에 잔상이 남고 0.5초 뒤 폭발 (공격력 x3)</t>
  </si>
  <si>
    <t>유령 실루엣 + 별</t>
  </si>
  <si>
    <t>기존 대시 잔상 연출 재사용</t>
  </si>
  <si>
    <t>U01</t>
  </si>
  <si>
    <t>게이지 충전</t>
  </si>
  <si>
    <t>GAUGE UP</t>
  </si>
  <si>
    <t>필살기 게이지가 더 빨리 참</t>
  </si>
  <si>
    <t>충전 +20%</t>
  </si>
  <si>
    <t>게이지 막대 ↑</t>
  </si>
  <si>
    <t>기존 ULTIMATE POWER를 위력/충전으로 나눔</t>
  </si>
  <si>
    <t>U02</t>
  </si>
  <si>
    <t>필살기 위력</t>
  </si>
  <si>
    <t>ULT POWER</t>
  </si>
  <si>
    <t>장착한 필살기의 피해 증가</t>
  </si>
  <si>
    <t>피해 +30%</t>
  </si>
  <si>
    <t>폭발 아이콘</t>
  </si>
  <si>
    <t>U03</t>
  </si>
  <si>
    <t>시작 게이지</t>
  </si>
  <si>
    <t>HEAD START</t>
  </si>
  <si>
    <t>스테이지를 시작할 때 게이지 30%를 채우고 시작</t>
  </si>
  <si>
    <t>시작 30%</t>
  </si>
  <si>
    <t>게이지 1/3</t>
  </si>
  <si>
    <t>U10</t>
  </si>
  <si>
    <t>필살기: 섀도우 레인</t>
  </si>
  <si>
    <t>SHADOW RAIN</t>
  </si>
  <si>
    <t>3초 동안 화면 위에서 그림자 탄이 적에게 쏟아짐</t>
  </si>
  <si>
    <t>필살기 교체</t>
  </si>
  <si>
    <t>가진 필살기보다 높은 등급</t>
  </si>
  <si>
    <t>떨어지는 공</t>
  </si>
  <si>
    <t>필살기 시트 참고</t>
  </si>
  <si>
    <t>U11</t>
  </si>
  <si>
    <t>필살기: 블랙홀</t>
  </si>
  <si>
    <t>BLACK HOLE</t>
  </si>
  <si>
    <t>앞쪽에 블랙홀을 4초 동안 열어 적을 끌어모으며 계속 피해, 적 투사체 흡수</t>
  </si>
  <si>
    <t>소용돌이</t>
  </si>
  <si>
    <t>U12</t>
  </si>
  <si>
    <t>필살기: 나이트메어</t>
  </si>
  <si>
    <t>NIGHTMARE</t>
  </si>
  <si>
    <t>4초 동안 적과 투사체를 멈추고, 그동안 무적 + 공격 피해 2배</t>
  </si>
  <si>
    <t>멈춘 시계 + 눈</t>
  </si>
  <si>
    <t>X01</t>
  </si>
  <si>
    <t>코인 자석</t>
  </si>
  <si>
    <t>MAGNET</t>
  </si>
  <si>
    <t>코인을 끌어당기는 범위 증가</t>
  </si>
  <si>
    <t>범위 +60px</t>
  </si>
  <si>
    <t>자석</t>
  </si>
  <si>
    <t>X02</t>
  </si>
  <si>
    <t>경험치 증가</t>
  </si>
  <si>
    <t>XP BOOST</t>
  </si>
  <si>
    <t>얻는 경험치 증가</t>
  </si>
  <si>
    <t>경험치 +20%</t>
  </si>
  <si>
    <t>책 / XP</t>
  </si>
  <si>
    <t>X03</t>
  </si>
  <si>
    <t>콤보 유지</t>
  </si>
  <si>
    <t>COMBO KEEP</t>
  </si>
  <si>
    <t>콤보가 끊기기까지의 시간 증가</t>
  </si>
  <si>
    <t>시간 +50%</t>
  </si>
  <si>
    <t>x2 글자</t>
  </si>
  <si>
    <t>X04</t>
  </si>
  <si>
    <t>탐욕</t>
  </si>
  <si>
    <t>GREED</t>
  </si>
  <si>
    <t>코인 획득량 증가</t>
  </si>
  <si>
    <t>코인 +25%</t>
  </si>
  <si>
    <t>코인 더미</t>
  </si>
  <si>
    <t>상점 뽑기 횟수와 직결</t>
  </si>
  <si>
    <t>X05</t>
  </si>
  <si>
    <t>행운</t>
  </si>
  <si>
    <t>LUCK</t>
  </si>
  <si>
    <t>카드가 높은 등급으로 나올 확률 증가</t>
  </si>
  <si>
    <t>등급 시트 보정</t>
  </si>
  <si>
    <t>네잎클로버</t>
  </si>
  <si>
    <t>X06</t>
  </si>
  <si>
    <t>다시 뽑기</t>
  </si>
  <si>
    <t>REROLL</t>
  </si>
  <si>
    <t>레벨업 화면에서 카드 3장을 다시 뽑을 수 있음 (스테이지마다 충전)</t>
  </si>
  <si>
    <t>리롤 +1</t>
  </si>
  <si>
    <t>순환 화살표</t>
  </si>
  <si>
    <t>레벨업 화면에 R 키 안내</t>
  </si>
  <si>
    <t>X07</t>
  </si>
  <si>
    <t>최후의 저항</t>
  </si>
  <si>
    <t>LAST STAND</t>
  </si>
  <si>
    <t>하트가 1개 남았을 때 공격력 +50%, 연사 +30%</t>
  </si>
  <si>
    <t>위기 강화</t>
  </si>
  <si>
    <t>금 간 하트 + 불꽃</t>
  </si>
  <si>
    <t>X08</t>
  </si>
  <si>
    <t>넓은 선택</t>
  </si>
  <si>
    <t>MORE CHOICE</t>
  </si>
  <si>
    <t>레벨업 때 카드가 4장 나옴</t>
  </si>
  <si>
    <t>카드 +1장</t>
  </si>
  <si>
    <t>카드 4장</t>
  </si>
  <si>
    <t>X09</t>
  </si>
  <si>
    <t>그림자 분신</t>
  </si>
  <si>
    <t>FAMILIAR</t>
  </si>
  <si>
    <t>작은 겐가 분신이 따라다니며 0.8초마다 가장 가까운 적에게 자동 사격 (내 공의 특수 능력도 같이 적용)</t>
  </si>
  <si>
    <t>분신 1</t>
  </si>
  <si>
    <t>작은 유령</t>
  </si>
  <si>
    <t>도트 스프라이트 1종 추가 필요</t>
  </si>
  <si>
    <t>카드 중복과 특수 능력 조합 규칙</t>
  </si>
  <si>
    <t>다시 나오는가</t>
  </si>
  <si>
    <t>규칙</t>
  </si>
  <si>
    <t>최대 중첩까지 계속 나옴</t>
  </si>
  <si>
    <t>공격력, 연사, 이동 속도처럼 수치만 올리는 카드. 같은 카드를 여러 번 골라 단계를 쌓는다. 최대 단계면 제시 목록에서 빠진다.</t>
  </si>
  <si>
    <t>한 번 얻으면 다시 안 나옴</t>
  </si>
  <si>
    <t>유도탄, 폭발탄, 무적 대시처럼 '능력이 하나 생기는' 카드. 같은 카드는 한 장만 얻지만, 서로 다른 특수 카드는 몇 장이든 함께 가질 수 있고 효과가 전부 동시에 적용된다.</t>
  </si>
  <si>
    <t>특수 능력이지만 개수로 쌓이는 것: 멀티샷(투사체 수), 대시 칸, 공중 점프, 공중 대시, 관통, 튕김, 추가 목숨, 다시 뽑기.</t>
  </si>
  <si>
    <t>몇 번이든 나옴</t>
  </si>
  <si>
    <t>회복처럼 즉시 효과만 있는 카드. 조건(하트가 가득이 아닐 것)이 맞을 때만 제시.</t>
  </si>
  <si>
    <t>특수 능력 조합 (서로 다른 특수 능력은 모두 겹쳐서 적용)</t>
  </si>
  <si>
    <t>조합</t>
  </si>
  <si>
    <t>결과</t>
  </si>
  <si>
    <t>제한 (과부하·무한 연쇄 방지)</t>
  </si>
  <si>
    <t>멀티샷 + 모든 공 능력</t>
  </si>
  <si>
    <t>부채꼴로 나간 공 하나하나에 유도·관통·튕김·폭발·저주·분열이 모두 붙는다</t>
  </si>
  <si>
    <t>-</t>
  </si>
  <si>
    <t>유도탄 + 튕기는 탄</t>
  </si>
  <si>
    <t>튕긴 뒤에도 다시 가까운 적을 찾아 휜다</t>
  </si>
  <si>
    <t>유도탄 + 분열탄</t>
  </si>
  <si>
    <t>분열한 작은 공도 유도된다</t>
  </si>
  <si>
    <t>관통 + 분열탄</t>
  </si>
  <si>
    <t>관통하면서 처음 맞힌 적에게서만 분열</t>
  </si>
  <si>
    <t>공 하나당 분열은 1번</t>
  </si>
  <si>
    <t>폭발탄 + 분열탄</t>
  </si>
  <si>
    <t>본래 공은 폭발 + 분열, 분열 조각은 폭발하지 않음</t>
  </si>
  <si>
    <t>분열 조각은 폭발·분열 없음 (연쇄 방지)</t>
  </si>
  <si>
    <t>저주탄 + 폭발/분열</t>
  </si>
  <si>
    <t>폭발·분열 조각에 맞은 적에게도 저주 표식</t>
  </si>
  <si>
    <t>치명타 + 모든 피해</t>
  </si>
  <si>
    <t>섀도우볼, 분열 조각, 폭발, 돌진, 잔상 폭발 모두 치명타 판정</t>
  </si>
  <si>
    <t>필살기는 치명타 없음</t>
  </si>
  <si>
    <t>차지샷 + 공 능력</t>
  </si>
  <si>
    <t>차지 공에 모든 공 능력 적용</t>
  </si>
  <si>
    <t>차지 공도 분열은 1번</t>
  </si>
  <si>
    <t>후방 사격 + 멀티샷</t>
  </si>
  <si>
    <t>뒤로도 같은 수만큼 발사 (피해 50%)</t>
  </si>
  <si>
    <t>무적 대시 + 그림자 돌진 + 잔상 폭발</t>
  </si>
  <si>
    <t>피해 없이 적을 뚫고 지나가며 베고, 출발 지점은 폭발</t>
  </si>
  <si>
    <t>대시 칸 + 대시 계열</t>
  </si>
  <si>
    <t>칸마다 돌진·잔상 폭발이 따로 발동</t>
  </si>
  <si>
    <t>잔상은 화면에 최대 3개</t>
  </si>
  <si>
    <t>그림자 분신 + 공 능력</t>
  </si>
  <si>
    <t>분신의 공에도 내 공 능력(유도, 폭발 등)이 적용</t>
  </si>
  <si>
    <t>분신 공 피해는 내 공의 50%</t>
  </si>
  <si>
    <t>처형자 + 저주탄</t>
  </si>
  <si>
    <t>곱연산: 저주 걸린 빈사 적에게 x1.5 x1.25</t>
  </si>
  <si>
    <t>최후의 저항 + 그림자 보호막</t>
  </si>
  <si>
    <t>보호막이 있는 동안 하트 1개로 버티며 강화 유지</t>
  </si>
  <si>
    <t>필살기 종류 (1개만 장착, 높은 등급 카드를 고르면 교체)</t>
  </si>
  <si>
    <t>얻는 방법</t>
  </si>
  <si>
    <t>동작</t>
  </si>
  <si>
    <t>일반 적 피해</t>
  </si>
  <si>
    <t>보스 피해</t>
  </si>
  <si>
    <t>지속 시간(초)</t>
  </si>
  <si>
    <t>연출 아이디어</t>
  </si>
  <si>
    <t>기본</t>
  </si>
  <si>
    <t>섀도우 펄스</t>
  </si>
  <si>
    <t>SHADOW PULSE</t>
  </si>
  <si>
    <t>처음부터 보유</t>
  </si>
  <si>
    <t>화면 전체에 충격파 한 번. 화면 안의 적 전부에게 피해 (지금 필살기 그대로)</t>
  </si>
  <si>
    <t>지금 연출 유지 (화면 흰색 플래시 + 링)</t>
  </si>
  <si>
    <t>섀도우 레인</t>
  </si>
  <si>
    <t>카드 U10</t>
  </si>
  <si>
    <t>3초 동안 화면 위에서 그림자 탄 18발이 화면 안의 적에게 나눠 떨어짐</t>
  </si>
  <si>
    <t>하늘이 어두워지고 보라 탄이 비처럼 내림</t>
  </si>
  <si>
    <t>블랙홀</t>
  </si>
  <si>
    <t>카드 U11</t>
  </si>
  <si>
    <t>바라보는 방향 200px 앞에 블랙홀. 4초 동안 주변 적을 끌어당기고 0.25초마다 피해, 닿은 적 투사체 흡수</t>
  </si>
  <si>
    <t>검은 원 + 빨려드는 도트 파티클, 화면 살짝 흔들림</t>
  </si>
  <si>
    <t>나이트메어</t>
  </si>
  <si>
    <t>카드 U12</t>
  </si>
  <si>
    <t>4초 동안 적·투사체·보스 패턴을 멈춤. 그동안 플레이어 무적, 섀도우볼 피해 2배. 끝날 때 화면 전체 피해 1번</t>
  </si>
  <si>
    <t>화면 색 반전(흑백 + 보라), 겐가의 눈만 빛남</t>
  </si>
  <si>
    <t>한 번 쓸 때 총 피해 (일반 적 1명 기준, 지속형은 타격 횟수 반영)</t>
  </si>
  <si>
    <t>타격 횟수 가정 → 아래 행</t>
  </si>
  <si>
    <t>타격 횟수(가정)</t>
  </si>
  <si>
    <t>일반 적 총 피해</t>
  </si>
  <si>
    <t>보스 총 피해</t>
  </si>
  <si>
    <t>가정: 섀도우 레인은 한 적이 평균 2발, 보스는 18발 전부 맞음 / 블랙홀은 4초 ÷ 0.25초 = 16타 / 나이트메어의 보스 피해는 마지막 일격만 셈(멈춘 동안 2배 공격은 별도). 필살기 위력 카드(U02)는 위 값에 곱한다.</t>
  </si>
  <si>
    <t>경험치 설계 (적 수는 StageBuilder.cpp 기준)</t>
  </si>
  <si>
    <t>적</t>
  </si>
  <si>
    <t>처치 경험치</t>
  </si>
  <si>
    <t>스테이지 1 수</t>
  </si>
  <si>
    <t>스테이지 2 수</t>
  </si>
  <si>
    <t>스테이지 1 경험치</t>
  </si>
  <si>
    <t>스테이지 2 경험치</t>
  </si>
  <si>
    <t>레벨업 필요 경험치 = 시작값 + 증가량 x (레벨 - 1)</t>
  </si>
  <si>
    <t>슬라임 (Slime)</t>
  </si>
  <si>
    <t>시작값</t>
  </si>
  <si>
    <t>박쥐 (Bat)</t>
  </si>
  <si>
    <t>증가량</t>
  </si>
  <si>
    <t>늑대 (Hound)</t>
  </si>
  <si>
    <t>모두 처치 비율</t>
  </si>
  <si>
    <t>실제로는 적을 다 잡지 못하므로 85%만 잡는다고 가정</t>
  </si>
  <si>
    <t>마법사 (Caster)</t>
  </si>
  <si>
    <t>레벨</t>
  </si>
  <si>
    <t>다음 레벨까지</t>
  </si>
  <si>
    <t>누적 필요</t>
  </si>
  <si>
    <t>예상 결과</t>
  </si>
  <si>
    <t>스테이지 1 끝 누적 경험치</t>
  </si>
  <si>
    <t>스테이지 1 끝 레벨</t>
  </si>
  <si>
    <t>스테이지 2 끝 누적 경험치</t>
  </si>
  <si>
    <t>스테이지 2 끝 레벨</t>
  </si>
  <si>
    <t>레벨업 카드 수 (보스 전)</t>
  </si>
  <si>
    <t>보스전 카드 (체력 66%, 33%)</t>
  </si>
  <si>
    <t>한 판 카드 총합 (상점 제외)</t>
  </si>
  <si>
    <t>목표: 스테이지 1에서 2~3장, 스테이지 2까지 합쳐 6장 안팎, 보스전 2장. 스테이지 2 적이 2배라 후반 레벨이 몰리지 않도록 증가량으로 조절.</t>
  </si>
  <si>
    <t>상점: 카드 뽑기 기회 구매</t>
  </si>
  <si>
    <t>뽑기 가격</t>
  </si>
  <si>
    <t>확정: 1회 50코인 고정. 오르는 가격은 0 (나중에 바꾸고 싶으면 B4만 고치면 된다)</t>
  </si>
  <si>
    <t>뽑을 때마다 오르는 가격</t>
  </si>
  <si>
    <t>가격 규칙</t>
  </si>
  <si>
    <t>50코인 고정 (확정)</t>
  </si>
  <si>
    <t>뽑기 회차</t>
  </si>
  <si>
    <t>이번 가격</t>
  </si>
  <si>
    <t>누적 가격</t>
  </si>
  <si>
    <t>그 판에서 모은 코인</t>
  </si>
  <si>
    <t>뽑을 수 있는 횟수</t>
  </si>
  <si>
    <t>남는 코인</t>
  </si>
  <si>
    <t>스테이지 1 뒤</t>
  </si>
  <si>
    <t>스테이지 2 뒤 (남은 코인 포함)</t>
  </si>
  <si>
    <t>상점 화면 구성 (제안)</t>
  </si>
  <si>
    <t>왼쪽</t>
  </si>
  <si>
    <t>캐릭터 패널: 겐가 도트 + 능력치 아이콘 줄 + 얻은 카드 아이콘 격자 ('캐릭터 패널' 시트)</t>
  </si>
  <si>
    <t>가운데</t>
  </si>
  <si>
    <t>DRAW CARD (가격 표시) 버튼. 누르면 그 자리에서 카드 3장이 펼쳐지고 하나를 고른다. 희귀 이상 1장 보장</t>
  </si>
  <si>
    <t>가운데 아래</t>
  </si>
  <si>
    <t>HEAL 2 HEARTS 20코인 (하트가 가득이면 숨김) — 카드 운이 나빠도 회복할 길을 남긴다</t>
  </si>
  <si>
    <t>오른쪽 아래</t>
  </si>
  <si>
    <t>NEXT STAGE 출발</t>
  </si>
  <si>
    <t>봇(bot=1)</t>
  </si>
  <si>
    <t>검증용 봇: 살 수 있는 만큼 뽑고, 카드는 등급 높은 것 → 공격 분류 순으로 고른다</t>
  </si>
  <si>
    <t>탐욕 카드</t>
  </si>
  <si>
    <t>탐욕(코인 +25%)을 2단계 찍으면 스테이지 1 코인이 61 → 약 92개, 상점에서 1번 뽑고 남는다</t>
  </si>
  <si>
    <t>캐릭터 패널 (상점 왼쪽 / 일시정지 화면)</t>
  </si>
  <si>
    <t>순서</t>
  </si>
  <si>
    <t>표시 항목</t>
  </si>
  <si>
    <t>아이콘 (16x16 도트)</t>
  </si>
  <si>
    <t>표시 방식</t>
  </si>
  <si>
    <t>관련 카드</t>
  </si>
  <si>
    <t>LV</t>
  </si>
  <si>
    <t>별</t>
  </si>
  <si>
    <t>LV 5 + 작은 경험치 바</t>
  </si>
  <si>
    <t>공격력</t>
  </si>
  <si>
    <t>ATK</t>
  </si>
  <si>
    <t>주먹</t>
  </si>
  <si>
    <t>숫자 (예: 3)</t>
  </si>
  <si>
    <t>연사</t>
  </si>
  <si>
    <t>RATE</t>
  </si>
  <si>
    <t>공 2개</t>
  </si>
  <si>
    <t>초당 발사 수 (예: 3.2/S)</t>
  </si>
  <si>
    <t>투사체</t>
  </si>
  <si>
    <t>SHOT</t>
  </si>
  <si>
    <t>x2 (1이면 숨김)</t>
  </si>
  <si>
    <t>A10, A08</t>
  </si>
  <si>
    <t>사거리</t>
  </si>
  <si>
    <t>RANGE</t>
  </si>
  <si>
    <t>화살표</t>
  </si>
  <si>
    <t>막대 3칸</t>
  </si>
  <si>
    <t>A03, A04</t>
  </si>
  <si>
    <t>HP</t>
  </si>
  <si>
    <t>하트 아이콘 개수</t>
  </si>
  <si>
    <t>D01, D02</t>
  </si>
  <si>
    <t>목숨</t>
  </si>
  <si>
    <t>LIFE</t>
  </si>
  <si>
    <t>유령</t>
  </si>
  <si>
    <t>x3</t>
  </si>
  <si>
    <t>SPD</t>
  </si>
  <si>
    <t>점프</t>
  </si>
  <si>
    <t>JUMP</t>
  </si>
  <si>
    <t>구름</t>
  </si>
  <si>
    <t>공중 점프 횟수 (x1)</t>
  </si>
  <si>
    <t>M02, M03</t>
  </si>
  <si>
    <t>DASH</t>
  </si>
  <si>
    <t>잔상</t>
  </si>
  <si>
    <t>대시 칸 개수 (HUD와 같은 칸 모양)</t>
  </si>
  <si>
    <t>S01~S04</t>
  </si>
  <si>
    <t>ULT</t>
  </si>
  <si>
    <t>장착한 필살기 아이콘</t>
  </si>
  <si>
    <t>필살기 이름 + 등급 테두리</t>
  </si>
  <si>
    <t>U10~U12</t>
  </si>
  <si>
    <t>얻은 특수 카드</t>
  </si>
  <si>
    <t>SKILLS</t>
  </si>
  <si>
    <t>카드별 아이콘</t>
  </si>
  <si>
    <t>4열 격자, 아이콘 테두리 = 카드 등급 색, 겹친 단계는 오른쪽 아래 작은 숫자</t>
  </si>
  <si>
    <t>능력치가 아닌 카드 전부 (관통, 유도, 무적 대시 등)</t>
  </si>
  <si>
    <t>커서를 아이콘에 올리면 아래에 카드 이름과 효과 한 줄을 띄운다 (상점에서 ↑↓로 패널로 이동).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</si>
</sst>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+0%;\-0%;0%"/>
  </numFmts>
  <fonts count="8" x14ac:knownFonts="1">
    <font>
      <sz val="11"/>
      <color theme="1"/>
      <name val="맑은 고딕"/>
      <family val="2"/>
      <scheme val="minor"/>
    </font>
    <font>
      <b/>
      <sz val="14"/>
      <color rgb="FF2C1A52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1"/>
      <color rgb="FF1A103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4B3"/>
      </patternFill>
    </fill>
    <fill>
      <patternFill patternType="solid">
        <fgColor rgb="FF2C1A52"/>
      </patternFill>
    </fill>
    <fill>
      <patternFill patternType="solid">
        <fgColor rgb="FF9AA0B5"/>
      </patternFill>
    </fill>
    <fill>
      <patternFill patternType="solid">
        <fgColor rgb="FF4FA3FF"/>
      </patternFill>
    </fill>
    <fill>
      <patternFill patternType="solid">
        <fgColor rgb="FFE05CFF"/>
      </patternFill>
    </fill>
    <fill>
      <patternFill patternType="solid">
        <fgColor rgb="FFFFC93C"/>
      </patternFill>
    </fill>
    <fill>
      <patternFill patternType="solid">
        <fgColor rgb="FFE3F2E1"/>
      </patternFill>
    </fill>
    <fill>
      <patternFill patternType="solid">
        <fgColor rgb="FFF3E1FF"/>
      </patternFill>
    </fill>
    <fill>
      <patternFill patternType="solid">
        <fgColor rgb="FFFFE6F4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C9C9D6"/>
      </left>
      <right style="thin">
        <color rgb="FFC9C9D6"/>
      </right>
      <top style="thin">
        <color rgb="FFC9C9D6"/>
      </top>
      <bottom style="thin">
        <color rgb="FFC9C9D6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3" fillId="0" borderId="1" xfId="0" applyFont="1" applyBorder="1"/>
    <xf numFmtId="0" fontId="5" fillId="2" borderId="1" xfId="0" applyFont="1" applyFill="1" applyBorder="1"/>
    <xf numFmtId="9" fontId="5" fillId="2" borderId="1" xfId="0" applyNumberFormat="1" applyFont="1" applyFill="1" applyBorder="1"/>
    <xf numFmtId="1" fontId="2" fillId="0" borderId="1" xfId="0" applyNumberFormat="1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3" fillId="0" borderId="1" xfId="0" applyFont="1" applyBorder="1" applyAlignment="1">
      <alignment vertical="top" wrapText="1"/>
    </xf>
  </cellXfs>
  <cellStyles count="1">
    <cellStyle name="표준" xfId="0" builtinId="0"/>
  </cellStyles>
  <dxfs count="8">
    <dxf>
      <fill>
        <patternFill patternType="solid">
          <fgColor rgb="FFEDEDED"/>
          <bgColor rgb="FFEDEDED"/>
        </patternFill>
      </fill>
    </dxf>
    <dxf>
      <fill>
        <patternFill patternType="solid">
          <fgColor rgb="FFFFE6F4"/>
          <bgColor rgb="FFFFE6F4"/>
        </patternFill>
      </fill>
    </dxf>
    <dxf>
      <fill>
        <patternFill patternType="solid">
          <fgColor rgb="FFF3E1FF"/>
          <bgColor rgb="FFF3E1FF"/>
        </patternFill>
      </fill>
    </dxf>
    <dxf>
      <fill>
        <patternFill patternType="solid">
          <fgColor rgb="FFE3F2E1"/>
          <bgColor rgb="FFE3F2E1"/>
        </patternFill>
      </fill>
    </dxf>
    <dxf>
      <font>
        <b/>
        <color rgb="FF1A1030"/>
      </font>
      <fill>
        <patternFill patternType="solid">
          <fgColor rgb="FFFFC93C"/>
          <bgColor rgb="FFFFC93C"/>
        </patternFill>
      </fill>
    </dxf>
    <dxf>
      <font>
        <b/>
        <color rgb="FF1A1030"/>
      </font>
      <fill>
        <patternFill patternType="solid">
          <fgColor rgb="FFE05CFF"/>
          <bgColor rgb="FFE05CFF"/>
        </patternFill>
      </fill>
    </dxf>
    <dxf>
      <font>
        <b/>
        <color rgb="FF1A1030"/>
      </font>
      <fill>
        <patternFill patternType="solid">
          <fgColor rgb="FF4FA3FF"/>
          <bgColor rgb="FF4FA3FF"/>
        </patternFill>
      </fill>
    </dxf>
    <dxf>
      <font>
        <b/>
        <color rgb="FF1A1030"/>
      </font>
      <fill>
        <patternFill patternType="solid">
          <fgColor rgb="FF9AA0B5"/>
          <bgColor rgb="FF9AA0B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RowHeight="16.5" x14ac:dyDescent="0.3"/>
  <cols>
    <col min="1" max="1" width="22" customWidth="1"/>
    <col min="2" max="2" width="100" customWidth="1"/>
  </cols>
  <sheetData>
    <row r="1" spans="1:2" ht="20.25" x14ac:dyDescent="0.35">
      <c r="A1" s="1" t="s">
        <v>0</v>
      </c>
    </row>
    <row r="3" spans="1:2" ht="27" x14ac:dyDescent="0.3">
      <c r="A3" s="2" t="s">
        <v>1</v>
      </c>
      <c r="B3" s="3" t="s">
        <v>2</v>
      </c>
    </row>
    <row r="4" spans="1:2" ht="27" x14ac:dyDescent="0.3">
      <c r="A4" s="2" t="s">
        <v>3</v>
      </c>
      <c r="B4" s="3" t="s">
        <v>4</v>
      </c>
    </row>
    <row r="5" spans="1:2" ht="27" x14ac:dyDescent="0.3">
      <c r="A5" s="2" t="s">
        <v>5</v>
      </c>
      <c r="B5" s="3" t="s">
        <v>6</v>
      </c>
    </row>
    <row r="6" spans="1:2" ht="40.5" x14ac:dyDescent="0.3">
      <c r="A6" s="2" t="s">
        <v>7</v>
      </c>
      <c r="B6" s="3" t="s">
        <v>8</v>
      </c>
    </row>
    <row r="7" spans="1:2" ht="27" x14ac:dyDescent="0.3">
      <c r="A7" s="2" t="s">
        <v>9</v>
      </c>
      <c r="B7" s="3" t="s">
        <v>10</v>
      </c>
    </row>
    <row r="8" spans="1:2" ht="27" x14ac:dyDescent="0.3">
      <c r="A8" s="2" t="s">
        <v>11</v>
      </c>
      <c r="B8" s="3" t="s">
        <v>12</v>
      </c>
    </row>
    <row r="9" spans="1:2" ht="27" x14ac:dyDescent="0.3">
      <c r="A9" s="2" t="s">
        <v>13</v>
      </c>
      <c r="B9" s="3" t="s">
        <v>14</v>
      </c>
    </row>
    <row r="10" spans="1:2" ht="27" x14ac:dyDescent="0.3">
      <c r="A10" s="2" t="s">
        <v>15</v>
      </c>
      <c r="B10" s="3" t="s">
        <v>16</v>
      </c>
    </row>
    <row r="11" spans="1:2" ht="27" x14ac:dyDescent="0.3">
      <c r="A11" s="2" t="s">
        <v>17</v>
      </c>
      <c r="B11" s="3" t="s">
        <v>18</v>
      </c>
    </row>
    <row r="12" spans="1:2" x14ac:dyDescent="0.3">
      <c r="A12" s="2" t="s">
        <v>19</v>
      </c>
      <c r="B12" s="3" t="s">
        <v>20</v>
      </c>
    </row>
    <row r="13" spans="1:2" ht="27" x14ac:dyDescent="0.3">
      <c r="A13" s="2" t="s">
        <v>21</v>
      </c>
      <c r="B13" s="3" t="s">
        <v>22</v>
      </c>
    </row>
    <row r="14" spans="1:2" ht="27" x14ac:dyDescent="0.3">
      <c r="A14" s="2" t="s">
        <v>23</v>
      </c>
      <c r="B14" s="3" t="s">
        <v>24</v>
      </c>
    </row>
    <row r="15" spans="1:2" x14ac:dyDescent="0.3">
      <c r="A15" s="2" t="s">
        <v>25</v>
      </c>
      <c r="B15" s="4" t="s">
        <v>26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defaultRowHeight="16.5" x14ac:dyDescent="0.3"/>
  <cols>
    <col min="1" max="1" width="14" customWidth="1"/>
    <col min="2" max="6" width="9" customWidth="1"/>
  </cols>
  <sheetData>
    <row r="1" spans="1:6" ht="20.25" x14ac:dyDescent="0.35">
      <c r="A1" s="1" t="s">
        <v>27</v>
      </c>
    </row>
    <row r="3" spans="1:6" x14ac:dyDescent="0.3">
      <c r="A3" s="5" t="s">
        <v>28</v>
      </c>
      <c r="B3" s="6" t="s">
        <v>29</v>
      </c>
      <c r="C3" s="7" t="s">
        <v>30</v>
      </c>
      <c r="D3" s="8" t="s">
        <v>31</v>
      </c>
      <c r="E3" s="9" t="s">
        <v>32</v>
      </c>
      <c r="F3" s="5" t="s">
        <v>33</v>
      </c>
    </row>
    <row r="4" spans="1:6" x14ac:dyDescent="0.3">
      <c r="A4" s="10" t="s">
        <v>34</v>
      </c>
      <c r="B4" s="10">
        <f>COUNTIFS('카드 목록'!$E:$E,$A4,'카드 목록'!$D:$D,"일반")</f>
        <v>5</v>
      </c>
      <c r="C4" s="10">
        <f>COUNTIFS('카드 목록'!$E:$E,$A4,'카드 목록'!$D:$D,"희귀")</f>
        <v>4</v>
      </c>
      <c r="D4" s="10">
        <f>COUNTIFS('카드 목록'!$E:$E,$A4,'카드 목록'!$D:$D,"영웅")</f>
        <v>4</v>
      </c>
      <c r="E4" s="10">
        <f>COUNTIFS('카드 목록'!$E:$E,$A4,'카드 목록'!$D:$D,"전설")</f>
        <v>3</v>
      </c>
      <c r="F4" s="10">
        <f t="shared" ref="F4:F9" si="0">SUM(B4:E4)</f>
        <v>16</v>
      </c>
    </row>
    <row r="5" spans="1:6" x14ac:dyDescent="0.3">
      <c r="A5" s="10" t="s">
        <v>35</v>
      </c>
      <c r="B5" s="10">
        <f>COUNTIFS('카드 목록'!$E:$E,$A5,'카드 목록'!$D:$D,"일반")</f>
        <v>2</v>
      </c>
      <c r="C5" s="10">
        <f>COUNTIFS('카드 목록'!$E:$E,$A5,'카드 목록'!$D:$D,"희귀")</f>
        <v>3</v>
      </c>
      <c r="D5" s="10">
        <f>COUNTIFS('카드 목록'!$E:$E,$A5,'카드 목록'!$D:$D,"영웅")</f>
        <v>2</v>
      </c>
      <c r="E5" s="10">
        <f>COUNTIFS('카드 목록'!$E:$E,$A5,'카드 목록'!$D:$D,"전설")</f>
        <v>0</v>
      </c>
      <c r="F5" s="10">
        <f t="shared" si="0"/>
        <v>7</v>
      </c>
    </row>
    <row r="6" spans="1:6" x14ac:dyDescent="0.3">
      <c r="A6" s="10" t="s">
        <v>36</v>
      </c>
      <c r="B6" s="10">
        <f>COUNTIFS('카드 목록'!$E:$E,$A6,'카드 목록'!$D:$D,"일반")</f>
        <v>2</v>
      </c>
      <c r="C6" s="10">
        <f>COUNTIFS('카드 목록'!$E:$E,$A6,'카드 목록'!$D:$D,"희귀")</f>
        <v>2</v>
      </c>
      <c r="D6" s="10">
        <f>COUNTIFS('카드 목록'!$E:$E,$A6,'카드 목록'!$D:$D,"영웅")</f>
        <v>0</v>
      </c>
      <c r="E6" s="10">
        <f>COUNTIFS('카드 목록'!$E:$E,$A6,'카드 목록'!$D:$D,"전설")</f>
        <v>0</v>
      </c>
      <c r="F6" s="10">
        <f t="shared" si="0"/>
        <v>4</v>
      </c>
    </row>
    <row r="7" spans="1:6" x14ac:dyDescent="0.3">
      <c r="A7" s="10" t="s">
        <v>37</v>
      </c>
      <c r="B7" s="10">
        <f>COUNTIFS('카드 목록'!$E:$E,$A7,'카드 목록'!$D:$D,"일반")</f>
        <v>2</v>
      </c>
      <c r="C7" s="10">
        <f>COUNTIFS('카드 목록'!$E:$E,$A7,'카드 목록'!$D:$D,"희귀")</f>
        <v>2</v>
      </c>
      <c r="D7" s="10">
        <f>COUNTIFS('카드 목록'!$E:$E,$A7,'카드 목록'!$D:$D,"영웅")</f>
        <v>2</v>
      </c>
      <c r="E7" s="10">
        <f>COUNTIFS('카드 목록'!$E:$E,$A7,'카드 목록'!$D:$D,"전설")</f>
        <v>1</v>
      </c>
      <c r="F7" s="10">
        <f t="shared" si="0"/>
        <v>7</v>
      </c>
    </row>
    <row r="8" spans="1:6" x14ac:dyDescent="0.3">
      <c r="A8" s="10" t="s">
        <v>38</v>
      </c>
      <c r="B8" s="10">
        <f>COUNTIFS('카드 목록'!$E:$E,$A8,'카드 목록'!$D:$D,"일반")</f>
        <v>2</v>
      </c>
      <c r="C8" s="10">
        <f>COUNTIFS('카드 목록'!$E:$E,$A8,'카드 목록'!$D:$D,"희귀")</f>
        <v>2</v>
      </c>
      <c r="D8" s="10">
        <f>COUNTIFS('카드 목록'!$E:$E,$A8,'카드 목록'!$D:$D,"영웅")</f>
        <v>1</v>
      </c>
      <c r="E8" s="10">
        <f>COUNTIFS('카드 목록'!$E:$E,$A8,'카드 목록'!$D:$D,"전설")</f>
        <v>1</v>
      </c>
      <c r="F8" s="10">
        <f t="shared" si="0"/>
        <v>6</v>
      </c>
    </row>
    <row r="9" spans="1:6" x14ac:dyDescent="0.3">
      <c r="A9" s="10" t="s">
        <v>39</v>
      </c>
      <c r="B9" s="10">
        <f>COUNTIFS('카드 목록'!$E:$E,$A9,'카드 목록'!$D:$D,"일반")</f>
        <v>3</v>
      </c>
      <c r="C9" s="10">
        <f>COUNTIFS('카드 목록'!$E:$E,$A9,'카드 목록'!$D:$D,"희귀")</f>
        <v>2</v>
      </c>
      <c r="D9" s="10">
        <f>COUNTIFS('카드 목록'!$E:$E,$A9,'카드 목록'!$D:$D,"영웅")</f>
        <v>3</v>
      </c>
      <c r="E9" s="10">
        <f>COUNTIFS('카드 목록'!$E:$E,$A9,'카드 목록'!$D:$D,"전설")</f>
        <v>1</v>
      </c>
      <c r="F9" s="10">
        <f t="shared" si="0"/>
        <v>9</v>
      </c>
    </row>
    <row r="10" spans="1:6" x14ac:dyDescent="0.3">
      <c r="A10" s="11" t="s">
        <v>33</v>
      </c>
      <c r="B10" s="11">
        <f>SUM(B4:B9)</f>
        <v>16</v>
      </c>
      <c r="C10" s="11">
        <f>SUM(C4:C9)</f>
        <v>15</v>
      </c>
      <c r="D10" s="11">
        <f>SUM(D4:D9)</f>
        <v>12</v>
      </c>
      <c r="E10" s="11">
        <f>SUM(E4:E9)</f>
        <v>6</v>
      </c>
      <c r="F10" s="11">
        <f>SUM(F4:F9)</f>
        <v>49</v>
      </c>
    </row>
    <row r="12" spans="1:6" x14ac:dyDescent="0.3">
      <c r="A12" s="12" t="s">
        <v>40</v>
      </c>
      <c r="B12" s="13">
        <f>COUNTIF('카드 목록'!$L:$L,"사용자*")</f>
        <v>8</v>
      </c>
    </row>
    <row r="13" spans="1:6" x14ac:dyDescent="0.3">
      <c r="A13" s="12" t="s">
        <v>41</v>
      </c>
      <c r="B13" s="13">
        <f>COUNTIF('카드 목록'!$L:$L,"*기존 상점*")</f>
        <v>9</v>
      </c>
    </row>
    <row r="15" spans="1:6" x14ac:dyDescent="0.3">
      <c r="A15" s="14" t="s">
        <v>42</v>
      </c>
      <c r="B15" s="13">
        <f>COUNTIF('카드 목록'!$F:$F,"능력치")</f>
        <v>18</v>
      </c>
    </row>
    <row r="16" spans="1:6" x14ac:dyDescent="0.3">
      <c r="A16" s="15" t="s">
        <v>43</v>
      </c>
      <c r="B16" s="13">
        <f>COUNTIF('카드 목록'!$F:$F,"특수")</f>
        <v>23</v>
      </c>
    </row>
    <row r="17" spans="1:2" x14ac:dyDescent="0.3">
      <c r="A17" s="16" t="s">
        <v>44</v>
      </c>
      <c r="B17" s="13">
        <f>COUNTIF('카드 목록'!$F:$F,"특수(중첩)")</f>
        <v>7</v>
      </c>
    </row>
    <row r="18" spans="1:2" x14ac:dyDescent="0.3">
      <c r="A18" s="17" t="s">
        <v>45</v>
      </c>
      <c r="B18" s="13">
        <f>COUNTIF('카드 목록'!$F:$F,"소모")</f>
        <v>1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6.5" x14ac:dyDescent="0.3"/>
  <cols>
    <col min="1" max="1" width="8" customWidth="1"/>
    <col min="2" max="2" width="10" customWidth="1"/>
    <col min="3" max="3" width="14" customWidth="1"/>
    <col min="4" max="4" width="12" customWidth="1"/>
    <col min="5" max="5" width="46" customWidth="1"/>
    <col min="6" max="7" width="14" customWidth="1"/>
    <col min="8" max="8" width="18" customWidth="1"/>
    <col min="9" max="9" width="20" customWidth="1"/>
  </cols>
  <sheetData>
    <row r="1" spans="1:9" ht="20.25" x14ac:dyDescent="0.35">
      <c r="A1" s="1" t="s">
        <v>46</v>
      </c>
    </row>
    <row r="3" spans="1:9" ht="27" x14ac:dyDescent="0.3">
      <c r="A3" s="5" t="s">
        <v>9</v>
      </c>
      <c r="B3" s="5" t="s">
        <v>47</v>
      </c>
      <c r="C3" s="5" t="s">
        <v>48</v>
      </c>
      <c r="D3" s="5" t="s">
        <v>49</v>
      </c>
      <c r="E3" s="5" t="s">
        <v>50</v>
      </c>
      <c r="F3" s="5" t="s">
        <v>51</v>
      </c>
      <c r="G3" s="5" t="s">
        <v>52</v>
      </c>
      <c r="H3" s="5" t="s">
        <v>53</v>
      </c>
      <c r="I3" s="5" t="s">
        <v>54</v>
      </c>
    </row>
    <row r="4" spans="1:9" x14ac:dyDescent="0.3">
      <c r="A4" s="10" t="s">
        <v>29</v>
      </c>
      <c r="B4" s="10" t="s">
        <v>55</v>
      </c>
      <c r="C4" s="10" t="s">
        <v>56</v>
      </c>
      <c r="D4" s="18"/>
      <c r="E4" s="3" t="s">
        <v>57</v>
      </c>
      <c r="F4" s="19">
        <v>0.44</v>
      </c>
      <c r="G4" s="19">
        <v>0.36</v>
      </c>
      <c r="H4" s="19">
        <v>0.28000000000000003</v>
      </c>
      <c r="I4" s="20">
        <v>-0.05</v>
      </c>
    </row>
    <row r="5" spans="1:9" x14ac:dyDescent="0.3">
      <c r="A5" s="10" t="s">
        <v>30</v>
      </c>
      <c r="B5" s="10" t="s">
        <v>58</v>
      </c>
      <c r="C5" s="10" t="s">
        <v>59</v>
      </c>
      <c r="D5" s="21"/>
      <c r="E5" s="3" t="s">
        <v>60</v>
      </c>
      <c r="F5" s="19">
        <v>0.32</v>
      </c>
      <c r="G5" s="19">
        <v>0.34</v>
      </c>
      <c r="H5" s="19">
        <v>0.36</v>
      </c>
      <c r="I5" s="20">
        <v>0.02</v>
      </c>
    </row>
    <row r="6" spans="1:9" x14ac:dyDescent="0.3">
      <c r="A6" s="10" t="s">
        <v>31</v>
      </c>
      <c r="B6" s="10" t="s">
        <v>61</v>
      </c>
      <c r="C6" s="10" t="s">
        <v>62</v>
      </c>
      <c r="D6" s="22"/>
      <c r="E6" s="3" t="s">
        <v>63</v>
      </c>
      <c r="F6" s="19">
        <v>0.18</v>
      </c>
      <c r="G6" s="19">
        <v>0.22</v>
      </c>
      <c r="H6" s="19">
        <v>0.26</v>
      </c>
      <c r="I6" s="20">
        <v>0.02</v>
      </c>
    </row>
    <row r="7" spans="1:9" x14ac:dyDescent="0.3">
      <c r="A7" s="10" t="s">
        <v>32</v>
      </c>
      <c r="B7" s="10" t="s">
        <v>64</v>
      </c>
      <c r="C7" s="10" t="s">
        <v>65</v>
      </c>
      <c r="D7" s="23"/>
      <c r="E7" s="3" t="s">
        <v>66</v>
      </c>
      <c r="F7" s="19">
        <v>0.06</v>
      </c>
      <c r="G7" s="19">
        <v>0.08</v>
      </c>
      <c r="H7" s="19">
        <v>0.1</v>
      </c>
      <c r="I7" s="20">
        <v>0.01</v>
      </c>
    </row>
    <row r="8" spans="1:9" x14ac:dyDescent="0.3">
      <c r="E8" s="13" t="s">
        <v>67</v>
      </c>
      <c r="F8" s="24">
        <f>SUM(F4:F7)</f>
        <v>1</v>
      </c>
      <c r="G8" s="24">
        <f>SUM(G4:G7)</f>
        <v>0.99999999999999989</v>
      </c>
      <c r="H8" s="24">
        <f>SUM(H4:H7)</f>
        <v>1</v>
      </c>
      <c r="I8" s="25">
        <f>SUM(I4:I7)</f>
        <v>0</v>
      </c>
    </row>
    <row r="10" spans="1:9" x14ac:dyDescent="0.3">
      <c r="A10" s="13" t="s">
        <v>68</v>
      </c>
    </row>
    <row r="11" spans="1:9" x14ac:dyDescent="0.3">
      <c r="A11" s="12" t="s">
        <v>69</v>
      </c>
    </row>
    <row r="12" spans="1:9" x14ac:dyDescent="0.3">
      <c r="A12" s="12" t="s">
        <v>70</v>
      </c>
    </row>
    <row r="13" spans="1:9" x14ac:dyDescent="0.3">
      <c r="A13" s="12" t="s">
        <v>71</v>
      </c>
    </row>
    <row r="14" spans="1:9" x14ac:dyDescent="0.3">
      <c r="A14" s="12" t="s">
        <v>72</v>
      </c>
    </row>
    <row r="15" spans="1:9" x14ac:dyDescent="0.3">
      <c r="A15" s="12" t="s">
        <v>73</v>
      </c>
    </row>
    <row r="16" spans="1:9" x14ac:dyDescent="0.3">
      <c r="A16" s="12" t="s">
        <v>74</v>
      </c>
    </row>
    <row r="17" spans="1:1" x14ac:dyDescent="0.3">
      <c r="A17" s="12" t="s">
        <v>75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6" customWidth="1"/>
    <col min="2" max="2" width="18" customWidth="1"/>
    <col min="3" max="3" width="15" customWidth="1"/>
    <col min="4" max="4" width="7" customWidth="1"/>
    <col min="5" max="5" width="8" customWidth="1"/>
    <col min="6" max="6" width="10" customWidth="1"/>
    <col min="7" max="7" width="44" customWidth="1"/>
    <col min="8" max="8" width="15" customWidth="1"/>
    <col min="9" max="9" width="9" customWidth="1"/>
    <col min="10" max="10" width="20" customWidth="1"/>
    <col min="11" max="11" width="18" customWidth="1"/>
    <col min="12" max="12" width="16" customWidth="1"/>
    <col min="13" max="13" width="9" customWidth="1"/>
    <col min="14" max="14" width="40" customWidth="1"/>
  </cols>
  <sheetData>
    <row r="1" spans="1:14" ht="27" x14ac:dyDescent="0.3">
      <c r="A1" s="5" t="s">
        <v>76</v>
      </c>
      <c r="B1" s="5" t="s">
        <v>77</v>
      </c>
      <c r="C1" s="5" t="s">
        <v>78</v>
      </c>
      <c r="D1" s="5" t="s">
        <v>9</v>
      </c>
      <c r="E1" s="5" t="s">
        <v>79</v>
      </c>
      <c r="F1" s="5" t="s">
        <v>80</v>
      </c>
      <c r="G1" s="5" t="s">
        <v>81</v>
      </c>
      <c r="H1" s="5" t="s">
        <v>82</v>
      </c>
      <c r="I1" s="5" t="s">
        <v>83</v>
      </c>
      <c r="J1" s="5" t="s">
        <v>84</v>
      </c>
      <c r="K1" s="5" t="s">
        <v>85</v>
      </c>
      <c r="L1" s="5" t="s">
        <v>86</v>
      </c>
      <c r="M1" s="5" t="s">
        <v>87</v>
      </c>
      <c r="N1" s="5" t="s">
        <v>88</v>
      </c>
    </row>
    <row r="2" spans="1:14" x14ac:dyDescent="0.3">
      <c r="A2" s="10" t="s">
        <v>89</v>
      </c>
      <c r="B2" s="3" t="s">
        <v>90</v>
      </c>
      <c r="C2" s="3" t="s">
        <v>91</v>
      </c>
      <c r="D2" s="10" t="s">
        <v>29</v>
      </c>
      <c r="E2" s="10" t="s">
        <v>34</v>
      </c>
      <c r="F2" s="10" t="s">
        <v>92</v>
      </c>
      <c r="G2" s="3" t="s">
        <v>93</v>
      </c>
      <c r="H2" s="26" t="s">
        <v>94</v>
      </c>
      <c r="I2" s="27">
        <v>5</v>
      </c>
      <c r="J2" s="3"/>
      <c r="K2" s="3" t="s">
        <v>95</v>
      </c>
      <c r="L2" s="3" t="s">
        <v>96</v>
      </c>
      <c r="M2" s="10" t="s">
        <v>97</v>
      </c>
      <c r="N2" s="3" t="s">
        <v>98</v>
      </c>
    </row>
    <row r="3" spans="1:14" x14ac:dyDescent="0.3">
      <c r="A3" s="10" t="s">
        <v>99</v>
      </c>
      <c r="B3" s="3" t="s">
        <v>100</v>
      </c>
      <c r="C3" s="3" t="s">
        <v>101</v>
      </c>
      <c r="D3" s="10" t="s">
        <v>29</v>
      </c>
      <c r="E3" s="10" t="s">
        <v>34</v>
      </c>
      <c r="F3" s="10" t="s">
        <v>92</v>
      </c>
      <c r="G3" s="3" t="s">
        <v>102</v>
      </c>
      <c r="H3" s="26" t="s">
        <v>103</v>
      </c>
      <c r="I3" s="27">
        <v>4</v>
      </c>
      <c r="J3" s="3"/>
      <c r="K3" s="3" t="s">
        <v>104</v>
      </c>
      <c r="L3" s="3" t="s">
        <v>96</v>
      </c>
      <c r="M3" s="10" t="s">
        <v>97</v>
      </c>
      <c r="N3" s="3"/>
    </row>
    <row r="4" spans="1:14" x14ac:dyDescent="0.3">
      <c r="A4" s="10" t="s">
        <v>105</v>
      </c>
      <c r="B4" s="3" t="s">
        <v>106</v>
      </c>
      <c r="C4" s="3" t="s">
        <v>107</v>
      </c>
      <c r="D4" s="10" t="s">
        <v>29</v>
      </c>
      <c r="E4" s="10" t="s">
        <v>34</v>
      </c>
      <c r="F4" s="10" t="s">
        <v>92</v>
      </c>
      <c r="G4" s="3" t="s">
        <v>108</v>
      </c>
      <c r="H4" s="26" t="s">
        <v>109</v>
      </c>
      <c r="I4" s="27">
        <v>3</v>
      </c>
      <c r="J4" s="3"/>
      <c r="K4" s="3" t="s">
        <v>110</v>
      </c>
      <c r="L4" s="3" t="s">
        <v>111</v>
      </c>
      <c r="M4" s="10" t="s">
        <v>97</v>
      </c>
      <c r="N4" s="3"/>
    </row>
    <row r="5" spans="1:14" x14ac:dyDescent="0.3">
      <c r="A5" s="10" t="s">
        <v>112</v>
      </c>
      <c r="B5" s="3" t="s">
        <v>113</v>
      </c>
      <c r="C5" s="3" t="s">
        <v>114</v>
      </c>
      <c r="D5" s="10" t="s">
        <v>29</v>
      </c>
      <c r="E5" s="10" t="s">
        <v>34</v>
      </c>
      <c r="F5" s="10" t="s">
        <v>92</v>
      </c>
      <c r="G5" s="3" t="s">
        <v>115</v>
      </c>
      <c r="H5" s="26" t="s">
        <v>116</v>
      </c>
      <c r="I5" s="27">
        <v>2</v>
      </c>
      <c r="J5" s="3"/>
      <c r="K5" s="3" t="s">
        <v>117</v>
      </c>
      <c r="L5" s="3" t="s">
        <v>111</v>
      </c>
      <c r="M5" s="10" t="s">
        <v>97</v>
      </c>
      <c r="N5" s="3"/>
    </row>
    <row r="6" spans="1:14" x14ac:dyDescent="0.3">
      <c r="A6" s="10" t="s">
        <v>118</v>
      </c>
      <c r="B6" s="3" t="s">
        <v>119</v>
      </c>
      <c r="C6" s="3" t="s">
        <v>120</v>
      </c>
      <c r="D6" s="10" t="s">
        <v>29</v>
      </c>
      <c r="E6" s="10" t="s">
        <v>34</v>
      </c>
      <c r="F6" s="10" t="s">
        <v>92</v>
      </c>
      <c r="G6" s="3" t="s">
        <v>121</v>
      </c>
      <c r="H6" s="26" t="s">
        <v>122</v>
      </c>
      <c r="I6" s="27">
        <v>2</v>
      </c>
      <c r="J6" s="3"/>
      <c r="K6" s="3" t="s">
        <v>123</v>
      </c>
      <c r="L6" s="3" t="s">
        <v>111</v>
      </c>
      <c r="M6" s="10" t="s">
        <v>97</v>
      </c>
      <c r="N6" s="3"/>
    </row>
    <row r="7" spans="1:14" x14ac:dyDescent="0.3">
      <c r="A7" s="10" t="s">
        <v>124</v>
      </c>
      <c r="B7" s="3" t="s">
        <v>125</v>
      </c>
      <c r="C7" s="3" t="s">
        <v>126</v>
      </c>
      <c r="D7" s="10" t="s">
        <v>30</v>
      </c>
      <c r="E7" s="10" t="s">
        <v>34</v>
      </c>
      <c r="F7" s="10" t="s">
        <v>92</v>
      </c>
      <c r="G7" s="3" t="s">
        <v>127</v>
      </c>
      <c r="H7" s="26" t="s">
        <v>128</v>
      </c>
      <c r="I7" s="27">
        <v>3</v>
      </c>
      <c r="J7" s="3"/>
      <c r="K7" s="3" t="s">
        <v>129</v>
      </c>
      <c r="L7" s="3" t="s">
        <v>111</v>
      </c>
      <c r="M7" s="10" t="s">
        <v>97</v>
      </c>
      <c r="N7" s="3" t="s">
        <v>130</v>
      </c>
    </row>
    <row r="8" spans="1:14" x14ac:dyDescent="0.3">
      <c r="A8" s="10" t="s">
        <v>131</v>
      </c>
      <c r="B8" s="3" t="s">
        <v>132</v>
      </c>
      <c r="C8" s="3" t="s">
        <v>133</v>
      </c>
      <c r="D8" s="10" t="s">
        <v>30</v>
      </c>
      <c r="E8" s="10" t="s">
        <v>34</v>
      </c>
      <c r="F8" s="10" t="s">
        <v>134</v>
      </c>
      <c r="G8" s="3" t="s">
        <v>135</v>
      </c>
      <c r="H8" s="26" t="s">
        <v>136</v>
      </c>
      <c r="I8" s="27">
        <v>2</v>
      </c>
      <c r="J8" s="3"/>
      <c r="K8" s="3" t="s">
        <v>137</v>
      </c>
      <c r="L8" s="3" t="s">
        <v>111</v>
      </c>
      <c r="M8" s="10" t="s">
        <v>138</v>
      </c>
      <c r="N8" s="3" t="s">
        <v>139</v>
      </c>
    </row>
    <row r="9" spans="1:14" x14ac:dyDescent="0.3">
      <c r="A9" s="10" t="s">
        <v>140</v>
      </c>
      <c r="B9" s="3" t="s">
        <v>141</v>
      </c>
      <c r="C9" s="3" t="s">
        <v>142</v>
      </c>
      <c r="D9" s="10" t="s">
        <v>30</v>
      </c>
      <c r="E9" s="10" t="s">
        <v>34</v>
      </c>
      <c r="F9" s="10" t="s">
        <v>39</v>
      </c>
      <c r="G9" s="3" t="s">
        <v>143</v>
      </c>
      <c r="H9" s="26" t="s">
        <v>144</v>
      </c>
      <c r="I9" s="27">
        <v>1</v>
      </c>
      <c r="J9" s="3"/>
      <c r="K9" s="3" t="s">
        <v>145</v>
      </c>
      <c r="L9" s="3" t="s">
        <v>111</v>
      </c>
      <c r="M9" s="10" t="s">
        <v>97</v>
      </c>
      <c r="N9" s="3" t="s">
        <v>146</v>
      </c>
    </row>
    <row r="10" spans="1:14" x14ac:dyDescent="0.3">
      <c r="A10" s="10" t="s">
        <v>147</v>
      </c>
      <c r="B10" s="3" t="s">
        <v>148</v>
      </c>
      <c r="C10" s="3" t="s">
        <v>149</v>
      </c>
      <c r="D10" s="10" t="s">
        <v>30</v>
      </c>
      <c r="E10" s="10" t="s">
        <v>34</v>
      </c>
      <c r="F10" s="10" t="s">
        <v>39</v>
      </c>
      <c r="G10" s="3" t="s">
        <v>150</v>
      </c>
      <c r="H10" s="26" t="s">
        <v>151</v>
      </c>
      <c r="I10" s="27">
        <v>1</v>
      </c>
      <c r="J10" s="3"/>
      <c r="K10" s="3" t="s">
        <v>152</v>
      </c>
      <c r="L10" s="3" t="s">
        <v>111</v>
      </c>
      <c r="M10" s="10" t="s">
        <v>97</v>
      </c>
      <c r="N10" s="3" t="s">
        <v>153</v>
      </c>
    </row>
    <row r="11" spans="1:14" ht="27" x14ac:dyDescent="0.3">
      <c r="A11" s="10" t="s">
        <v>154</v>
      </c>
      <c r="B11" s="2" t="s">
        <v>155</v>
      </c>
      <c r="C11" s="3" t="s">
        <v>156</v>
      </c>
      <c r="D11" s="10" t="s">
        <v>31</v>
      </c>
      <c r="E11" s="10" t="s">
        <v>34</v>
      </c>
      <c r="F11" s="10" t="s">
        <v>134</v>
      </c>
      <c r="G11" s="3" t="s">
        <v>157</v>
      </c>
      <c r="H11" s="26" t="s">
        <v>158</v>
      </c>
      <c r="I11" s="27">
        <v>2</v>
      </c>
      <c r="J11" s="3"/>
      <c r="K11" s="3" t="s">
        <v>159</v>
      </c>
      <c r="L11" s="2" t="s">
        <v>160</v>
      </c>
      <c r="M11" s="10" t="s">
        <v>97</v>
      </c>
      <c r="N11" s="3" t="s">
        <v>161</v>
      </c>
    </row>
    <row r="12" spans="1:14" x14ac:dyDescent="0.3">
      <c r="A12" s="10" t="s">
        <v>162</v>
      </c>
      <c r="B12" s="3" t="s">
        <v>163</v>
      </c>
      <c r="C12" s="3" t="s">
        <v>164</v>
      </c>
      <c r="D12" s="10" t="s">
        <v>31</v>
      </c>
      <c r="E12" s="10" t="s">
        <v>34</v>
      </c>
      <c r="F12" s="10" t="s">
        <v>134</v>
      </c>
      <c r="G12" s="3" t="s">
        <v>165</v>
      </c>
      <c r="H12" s="26" t="s">
        <v>166</v>
      </c>
      <c r="I12" s="27">
        <v>2</v>
      </c>
      <c r="J12" s="3"/>
      <c r="K12" s="3" t="s">
        <v>167</v>
      </c>
      <c r="L12" s="3" t="s">
        <v>111</v>
      </c>
      <c r="M12" s="10" t="s">
        <v>138</v>
      </c>
      <c r="N12" s="3" t="s">
        <v>168</v>
      </c>
    </row>
    <row r="13" spans="1:14" x14ac:dyDescent="0.3">
      <c r="A13" s="10" t="s">
        <v>169</v>
      </c>
      <c r="B13" s="3" t="s">
        <v>170</v>
      </c>
      <c r="C13" s="3" t="s">
        <v>171</v>
      </c>
      <c r="D13" s="10" t="s">
        <v>31</v>
      </c>
      <c r="E13" s="10" t="s">
        <v>34</v>
      </c>
      <c r="F13" s="10" t="s">
        <v>39</v>
      </c>
      <c r="G13" s="3" t="s">
        <v>172</v>
      </c>
      <c r="H13" s="26" t="s">
        <v>173</v>
      </c>
      <c r="I13" s="27">
        <v>1</v>
      </c>
      <c r="J13" s="3"/>
      <c r="K13" s="3" t="s">
        <v>174</v>
      </c>
      <c r="L13" s="3" t="s">
        <v>111</v>
      </c>
      <c r="M13" s="10" t="s">
        <v>138</v>
      </c>
      <c r="N13" s="3" t="s">
        <v>175</v>
      </c>
    </row>
    <row r="14" spans="1:14" x14ac:dyDescent="0.3">
      <c r="A14" s="10" t="s">
        <v>176</v>
      </c>
      <c r="B14" s="3" t="s">
        <v>177</v>
      </c>
      <c r="C14" s="3" t="s">
        <v>178</v>
      </c>
      <c r="D14" s="10" t="s">
        <v>31</v>
      </c>
      <c r="E14" s="10" t="s">
        <v>34</v>
      </c>
      <c r="F14" s="10" t="s">
        <v>39</v>
      </c>
      <c r="G14" s="3" t="s">
        <v>179</v>
      </c>
      <c r="H14" s="26" t="s">
        <v>180</v>
      </c>
      <c r="I14" s="27">
        <v>1</v>
      </c>
      <c r="J14" s="3"/>
      <c r="K14" s="3" t="s">
        <v>181</v>
      </c>
      <c r="L14" s="3" t="s">
        <v>111</v>
      </c>
      <c r="M14" s="10" t="s">
        <v>138</v>
      </c>
      <c r="N14" s="3"/>
    </row>
    <row r="15" spans="1:14" ht="27" x14ac:dyDescent="0.3">
      <c r="A15" s="10" t="s">
        <v>182</v>
      </c>
      <c r="B15" s="2" t="s">
        <v>183</v>
      </c>
      <c r="C15" s="3" t="s">
        <v>184</v>
      </c>
      <c r="D15" s="10" t="s">
        <v>32</v>
      </c>
      <c r="E15" s="10" t="s">
        <v>34</v>
      </c>
      <c r="F15" s="10" t="s">
        <v>39</v>
      </c>
      <c r="G15" s="3" t="s">
        <v>185</v>
      </c>
      <c r="H15" s="26" t="s">
        <v>186</v>
      </c>
      <c r="I15" s="27">
        <v>1</v>
      </c>
      <c r="J15" s="3"/>
      <c r="K15" s="3" t="s">
        <v>187</v>
      </c>
      <c r="L15" s="2" t="s">
        <v>188</v>
      </c>
      <c r="M15" s="10" t="s">
        <v>138</v>
      </c>
      <c r="N15" s="3" t="s">
        <v>189</v>
      </c>
    </row>
    <row r="16" spans="1:14" x14ac:dyDescent="0.3">
      <c r="A16" s="10" t="s">
        <v>190</v>
      </c>
      <c r="B16" s="3" t="s">
        <v>191</v>
      </c>
      <c r="C16" s="3" t="s">
        <v>192</v>
      </c>
      <c r="D16" s="10" t="s">
        <v>32</v>
      </c>
      <c r="E16" s="10" t="s">
        <v>34</v>
      </c>
      <c r="F16" s="10" t="s">
        <v>39</v>
      </c>
      <c r="G16" s="3" t="s">
        <v>193</v>
      </c>
      <c r="H16" s="26" t="s">
        <v>194</v>
      </c>
      <c r="I16" s="27">
        <v>1</v>
      </c>
      <c r="J16" s="3"/>
      <c r="K16" s="3" t="s">
        <v>195</v>
      </c>
      <c r="L16" s="3" t="s">
        <v>111</v>
      </c>
      <c r="M16" s="10" t="s">
        <v>138</v>
      </c>
      <c r="N16" s="3" t="s">
        <v>196</v>
      </c>
    </row>
    <row r="17" spans="1:14" ht="27" x14ac:dyDescent="0.3">
      <c r="A17" s="10" t="s">
        <v>197</v>
      </c>
      <c r="B17" s="3" t="s">
        <v>198</v>
      </c>
      <c r="C17" s="3" t="s">
        <v>199</v>
      </c>
      <c r="D17" s="10" t="s">
        <v>32</v>
      </c>
      <c r="E17" s="10" t="s">
        <v>34</v>
      </c>
      <c r="F17" s="10" t="s">
        <v>39</v>
      </c>
      <c r="G17" s="3" t="s">
        <v>200</v>
      </c>
      <c r="H17" s="26" t="s">
        <v>201</v>
      </c>
      <c r="I17" s="27">
        <v>1</v>
      </c>
      <c r="J17" s="3"/>
      <c r="K17" s="3" t="s">
        <v>202</v>
      </c>
      <c r="L17" s="3" t="s">
        <v>111</v>
      </c>
      <c r="M17" s="10" t="s">
        <v>203</v>
      </c>
      <c r="N17" s="3" t="s">
        <v>204</v>
      </c>
    </row>
    <row r="18" spans="1:14" x14ac:dyDescent="0.3">
      <c r="A18" s="10" t="s">
        <v>205</v>
      </c>
      <c r="B18" s="3" t="s">
        <v>206</v>
      </c>
      <c r="C18" s="3" t="s">
        <v>207</v>
      </c>
      <c r="D18" s="10" t="s">
        <v>29</v>
      </c>
      <c r="E18" s="10" t="s">
        <v>35</v>
      </c>
      <c r="F18" s="10" t="s">
        <v>92</v>
      </c>
      <c r="G18" s="3" t="s">
        <v>208</v>
      </c>
      <c r="H18" s="26" t="s">
        <v>209</v>
      </c>
      <c r="I18" s="27">
        <v>4</v>
      </c>
      <c r="J18" s="3"/>
      <c r="K18" s="3" t="s">
        <v>210</v>
      </c>
      <c r="L18" s="3" t="s">
        <v>96</v>
      </c>
      <c r="M18" s="10" t="s">
        <v>97</v>
      </c>
      <c r="N18" s="3"/>
    </row>
    <row r="19" spans="1:14" ht="27" x14ac:dyDescent="0.3">
      <c r="A19" s="10" t="s">
        <v>211</v>
      </c>
      <c r="B19" s="3" t="s">
        <v>212</v>
      </c>
      <c r="C19" s="3" t="s">
        <v>213</v>
      </c>
      <c r="D19" s="10" t="s">
        <v>29</v>
      </c>
      <c r="E19" s="10" t="s">
        <v>35</v>
      </c>
      <c r="F19" s="10" t="s">
        <v>214</v>
      </c>
      <c r="G19" s="3" t="s">
        <v>215</v>
      </c>
      <c r="H19" s="26" t="s">
        <v>216</v>
      </c>
      <c r="I19" s="27">
        <v>99</v>
      </c>
      <c r="J19" s="3" t="s">
        <v>217</v>
      </c>
      <c r="K19" s="3" t="s">
        <v>218</v>
      </c>
      <c r="L19" s="3" t="s">
        <v>111</v>
      </c>
      <c r="M19" s="10" t="s">
        <v>97</v>
      </c>
      <c r="N19" s="3" t="s">
        <v>219</v>
      </c>
    </row>
    <row r="20" spans="1:14" x14ac:dyDescent="0.3">
      <c r="A20" s="10" t="s">
        <v>220</v>
      </c>
      <c r="B20" s="3" t="s">
        <v>221</v>
      </c>
      <c r="C20" s="3" t="s">
        <v>222</v>
      </c>
      <c r="D20" s="10" t="s">
        <v>30</v>
      </c>
      <c r="E20" s="10" t="s">
        <v>35</v>
      </c>
      <c r="F20" s="10" t="s">
        <v>92</v>
      </c>
      <c r="G20" s="3" t="s">
        <v>223</v>
      </c>
      <c r="H20" s="26" t="s">
        <v>224</v>
      </c>
      <c r="I20" s="27">
        <v>2</v>
      </c>
      <c r="J20" s="3"/>
      <c r="K20" s="3" t="s">
        <v>225</v>
      </c>
      <c r="L20" s="3" t="s">
        <v>111</v>
      </c>
      <c r="M20" s="10" t="s">
        <v>97</v>
      </c>
      <c r="N20" s="3"/>
    </row>
    <row r="21" spans="1:14" x14ac:dyDescent="0.3">
      <c r="A21" s="10" t="s">
        <v>226</v>
      </c>
      <c r="B21" s="3" t="s">
        <v>227</v>
      </c>
      <c r="C21" s="3" t="s">
        <v>228</v>
      </c>
      <c r="D21" s="10" t="s">
        <v>30</v>
      </c>
      <c r="E21" s="10" t="s">
        <v>35</v>
      </c>
      <c r="F21" s="10" t="s">
        <v>39</v>
      </c>
      <c r="G21" s="3" t="s">
        <v>229</v>
      </c>
      <c r="H21" s="26" t="s">
        <v>230</v>
      </c>
      <c r="I21" s="27">
        <v>1</v>
      </c>
      <c r="J21" s="3"/>
      <c r="K21" s="3" t="s">
        <v>231</v>
      </c>
      <c r="L21" s="3" t="s">
        <v>111</v>
      </c>
      <c r="M21" s="10" t="s">
        <v>97</v>
      </c>
      <c r="N21" s="3"/>
    </row>
    <row r="22" spans="1:14" x14ac:dyDescent="0.3">
      <c r="A22" s="10" t="s">
        <v>232</v>
      </c>
      <c r="B22" s="3" t="s">
        <v>233</v>
      </c>
      <c r="C22" s="3" t="s">
        <v>234</v>
      </c>
      <c r="D22" s="10" t="s">
        <v>30</v>
      </c>
      <c r="E22" s="10" t="s">
        <v>35</v>
      </c>
      <c r="F22" s="10" t="s">
        <v>39</v>
      </c>
      <c r="G22" s="3" t="s">
        <v>235</v>
      </c>
      <c r="H22" s="26" t="s">
        <v>236</v>
      </c>
      <c r="I22" s="27">
        <v>1</v>
      </c>
      <c r="J22" s="3"/>
      <c r="K22" s="3" t="s">
        <v>237</v>
      </c>
      <c r="L22" s="3" t="s">
        <v>111</v>
      </c>
      <c r="M22" s="10" t="s">
        <v>97</v>
      </c>
      <c r="N22" s="3"/>
    </row>
    <row r="23" spans="1:14" x14ac:dyDescent="0.3">
      <c r="A23" s="10" t="s">
        <v>238</v>
      </c>
      <c r="B23" s="3" t="s">
        <v>239</v>
      </c>
      <c r="C23" s="3" t="s">
        <v>240</v>
      </c>
      <c r="D23" s="10" t="s">
        <v>31</v>
      </c>
      <c r="E23" s="10" t="s">
        <v>35</v>
      </c>
      <c r="F23" s="10" t="s">
        <v>39</v>
      </c>
      <c r="G23" s="3" t="s">
        <v>241</v>
      </c>
      <c r="H23" s="26" t="s">
        <v>242</v>
      </c>
      <c r="I23" s="27">
        <v>1</v>
      </c>
      <c r="J23" s="3"/>
      <c r="K23" s="3" t="s">
        <v>243</v>
      </c>
      <c r="L23" s="3" t="s">
        <v>111</v>
      </c>
      <c r="M23" s="10" t="s">
        <v>138</v>
      </c>
      <c r="N23" s="3"/>
    </row>
    <row r="24" spans="1:14" x14ac:dyDescent="0.3">
      <c r="A24" s="10" t="s">
        <v>244</v>
      </c>
      <c r="B24" s="3" t="s">
        <v>245</v>
      </c>
      <c r="C24" s="3" t="s">
        <v>246</v>
      </c>
      <c r="D24" s="10" t="s">
        <v>31</v>
      </c>
      <c r="E24" s="10" t="s">
        <v>35</v>
      </c>
      <c r="F24" s="10" t="s">
        <v>134</v>
      </c>
      <c r="G24" s="3" t="s">
        <v>247</v>
      </c>
      <c r="H24" s="26" t="s">
        <v>247</v>
      </c>
      <c r="I24" s="27">
        <v>3</v>
      </c>
      <c r="J24" s="3"/>
      <c r="K24" s="3" t="s">
        <v>248</v>
      </c>
      <c r="L24" s="3" t="s">
        <v>96</v>
      </c>
      <c r="M24" s="10" t="s">
        <v>97</v>
      </c>
      <c r="N24" s="3"/>
    </row>
    <row r="25" spans="1:14" x14ac:dyDescent="0.3">
      <c r="A25" s="10" t="s">
        <v>249</v>
      </c>
      <c r="B25" s="3" t="s">
        <v>250</v>
      </c>
      <c r="C25" s="3" t="s">
        <v>251</v>
      </c>
      <c r="D25" s="10" t="s">
        <v>29</v>
      </c>
      <c r="E25" s="10" t="s">
        <v>36</v>
      </c>
      <c r="F25" s="10" t="s">
        <v>92</v>
      </c>
      <c r="G25" s="3" t="s">
        <v>252</v>
      </c>
      <c r="H25" s="26" t="s">
        <v>253</v>
      </c>
      <c r="I25" s="27">
        <v>3</v>
      </c>
      <c r="J25" s="3"/>
      <c r="K25" s="3" t="s">
        <v>254</v>
      </c>
      <c r="L25" s="3" t="s">
        <v>96</v>
      </c>
      <c r="M25" s="10" t="s">
        <v>97</v>
      </c>
      <c r="N25" s="3"/>
    </row>
    <row r="26" spans="1:14" x14ac:dyDescent="0.3">
      <c r="A26" s="10" t="s">
        <v>255</v>
      </c>
      <c r="B26" s="3" t="s">
        <v>256</v>
      </c>
      <c r="C26" s="3" t="s">
        <v>257</v>
      </c>
      <c r="D26" s="10" t="s">
        <v>29</v>
      </c>
      <c r="E26" s="10" t="s">
        <v>36</v>
      </c>
      <c r="F26" s="10" t="s">
        <v>92</v>
      </c>
      <c r="G26" s="3" t="s">
        <v>258</v>
      </c>
      <c r="H26" s="26" t="s">
        <v>259</v>
      </c>
      <c r="I26" s="27">
        <v>2</v>
      </c>
      <c r="J26" s="3"/>
      <c r="K26" s="3" t="s">
        <v>260</v>
      </c>
      <c r="L26" s="3" t="s">
        <v>111</v>
      </c>
      <c r="M26" s="10" t="s">
        <v>97</v>
      </c>
      <c r="N26" s="3" t="s">
        <v>261</v>
      </c>
    </row>
    <row r="27" spans="1:14" x14ac:dyDescent="0.3">
      <c r="A27" s="10" t="s">
        <v>262</v>
      </c>
      <c r="B27" s="3" t="s">
        <v>263</v>
      </c>
      <c r="C27" s="3" t="s">
        <v>264</v>
      </c>
      <c r="D27" s="10" t="s">
        <v>30</v>
      </c>
      <c r="E27" s="10" t="s">
        <v>36</v>
      </c>
      <c r="F27" s="10" t="s">
        <v>134</v>
      </c>
      <c r="G27" s="3" t="s">
        <v>265</v>
      </c>
      <c r="H27" s="26" t="s">
        <v>266</v>
      </c>
      <c r="I27" s="27">
        <v>2</v>
      </c>
      <c r="J27" s="3"/>
      <c r="K27" s="3" t="s">
        <v>267</v>
      </c>
      <c r="L27" s="3" t="s">
        <v>96</v>
      </c>
      <c r="M27" s="10" t="s">
        <v>97</v>
      </c>
      <c r="N27" s="3" t="s">
        <v>268</v>
      </c>
    </row>
    <row r="28" spans="1:14" x14ac:dyDescent="0.3">
      <c r="A28" s="10" t="s">
        <v>269</v>
      </c>
      <c r="B28" s="3" t="s">
        <v>270</v>
      </c>
      <c r="C28" s="3" t="s">
        <v>271</v>
      </c>
      <c r="D28" s="10" t="s">
        <v>30</v>
      </c>
      <c r="E28" s="10" t="s">
        <v>36</v>
      </c>
      <c r="F28" s="10" t="s">
        <v>39</v>
      </c>
      <c r="G28" s="3" t="s">
        <v>272</v>
      </c>
      <c r="H28" s="26" t="s">
        <v>273</v>
      </c>
      <c r="I28" s="27">
        <v>1</v>
      </c>
      <c r="J28" s="3"/>
      <c r="K28" s="3" t="s">
        <v>274</v>
      </c>
      <c r="L28" s="3" t="s">
        <v>111</v>
      </c>
      <c r="M28" s="10" t="s">
        <v>138</v>
      </c>
      <c r="N28" s="3" t="s">
        <v>275</v>
      </c>
    </row>
    <row r="29" spans="1:14" x14ac:dyDescent="0.3">
      <c r="A29" s="10" t="s">
        <v>276</v>
      </c>
      <c r="B29" s="2" t="s">
        <v>277</v>
      </c>
      <c r="C29" s="3" t="s">
        <v>278</v>
      </c>
      <c r="D29" s="10" t="s">
        <v>29</v>
      </c>
      <c r="E29" s="10" t="s">
        <v>37</v>
      </c>
      <c r="F29" s="10" t="s">
        <v>92</v>
      </c>
      <c r="G29" s="3" t="s">
        <v>279</v>
      </c>
      <c r="H29" s="26" t="s">
        <v>280</v>
      </c>
      <c r="I29" s="27">
        <v>2</v>
      </c>
      <c r="J29" s="3"/>
      <c r="K29" s="3" t="s">
        <v>281</v>
      </c>
      <c r="L29" s="2" t="s">
        <v>188</v>
      </c>
      <c r="M29" s="10" t="s">
        <v>97</v>
      </c>
      <c r="N29" s="3"/>
    </row>
    <row r="30" spans="1:14" x14ac:dyDescent="0.3">
      <c r="A30" s="10" t="s">
        <v>282</v>
      </c>
      <c r="B30" s="3" t="s">
        <v>283</v>
      </c>
      <c r="C30" s="3" t="s">
        <v>284</v>
      </c>
      <c r="D30" s="10" t="s">
        <v>29</v>
      </c>
      <c r="E30" s="10" t="s">
        <v>37</v>
      </c>
      <c r="F30" s="10" t="s">
        <v>92</v>
      </c>
      <c r="G30" s="3" t="s">
        <v>285</v>
      </c>
      <c r="H30" s="26" t="s">
        <v>286</v>
      </c>
      <c r="I30" s="27">
        <v>2</v>
      </c>
      <c r="J30" s="3"/>
      <c r="K30" s="3" t="s">
        <v>287</v>
      </c>
      <c r="L30" s="3" t="s">
        <v>111</v>
      </c>
      <c r="M30" s="10" t="s">
        <v>97</v>
      </c>
      <c r="N30" s="3" t="s">
        <v>288</v>
      </c>
    </row>
    <row r="31" spans="1:14" ht="27" x14ac:dyDescent="0.3">
      <c r="A31" s="10" t="s">
        <v>289</v>
      </c>
      <c r="B31" s="2" t="s">
        <v>290</v>
      </c>
      <c r="C31" s="3" t="s">
        <v>291</v>
      </c>
      <c r="D31" s="10" t="s">
        <v>30</v>
      </c>
      <c r="E31" s="10" t="s">
        <v>37</v>
      </c>
      <c r="F31" s="10" t="s">
        <v>134</v>
      </c>
      <c r="G31" s="3" t="s">
        <v>292</v>
      </c>
      <c r="H31" s="26" t="s">
        <v>293</v>
      </c>
      <c r="I31" s="27">
        <v>2</v>
      </c>
      <c r="J31" s="3"/>
      <c r="K31" s="3" t="s">
        <v>294</v>
      </c>
      <c r="L31" s="2" t="s">
        <v>188</v>
      </c>
      <c r="M31" s="10" t="s">
        <v>138</v>
      </c>
      <c r="N31" s="3" t="s">
        <v>295</v>
      </c>
    </row>
    <row r="32" spans="1:14" x14ac:dyDescent="0.3">
      <c r="A32" s="10" t="s">
        <v>296</v>
      </c>
      <c r="B32" s="3" t="s">
        <v>297</v>
      </c>
      <c r="C32" s="3" t="s">
        <v>298</v>
      </c>
      <c r="D32" s="10" t="s">
        <v>30</v>
      </c>
      <c r="E32" s="10" t="s">
        <v>37</v>
      </c>
      <c r="F32" s="10" t="s">
        <v>39</v>
      </c>
      <c r="G32" s="3" t="s">
        <v>299</v>
      </c>
      <c r="H32" s="26" t="s">
        <v>300</v>
      </c>
      <c r="I32" s="27">
        <v>1</v>
      </c>
      <c r="J32" s="3"/>
      <c r="K32" s="3" t="s">
        <v>301</v>
      </c>
      <c r="L32" s="3" t="s">
        <v>111</v>
      </c>
      <c r="M32" s="10" t="s">
        <v>97</v>
      </c>
      <c r="N32" s="3" t="s">
        <v>302</v>
      </c>
    </row>
    <row r="33" spans="1:14" ht="27" x14ac:dyDescent="0.3">
      <c r="A33" s="10" t="s">
        <v>303</v>
      </c>
      <c r="B33" s="2" t="s">
        <v>304</v>
      </c>
      <c r="C33" s="3" t="s">
        <v>305</v>
      </c>
      <c r="D33" s="10" t="s">
        <v>31</v>
      </c>
      <c r="E33" s="10" t="s">
        <v>37</v>
      </c>
      <c r="F33" s="10" t="s">
        <v>39</v>
      </c>
      <c r="G33" s="3" t="s">
        <v>306</v>
      </c>
      <c r="H33" s="26" t="s">
        <v>307</v>
      </c>
      <c r="I33" s="27">
        <v>1</v>
      </c>
      <c r="J33" s="3"/>
      <c r="K33" s="3" t="s">
        <v>308</v>
      </c>
      <c r="L33" s="2" t="s">
        <v>188</v>
      </c>
      <c r="M33" s="10" t="s">
        <v>97</v>
      </c>
      <c r="N33" s="3" t="s">
        <v>309</v>
      </c>
    </row>
    <row r="34" spans="1:14" x14ac:dyDescent="0.3">
      <c r="A34" s="10" t="s">
        <v>310</v>
      </c>
      <c r="B34" s="3" t="s">
        <v>311</v>
      </c>
      <c r="C34" s="3" t="s">
        <v>312</v>
      </c>
      <c r="D34" s="10" t="s">
        <v>31</v>
      </c>
      <c r="E34" s="10" t="s">
        <v>37</v>
      </c>
      <c r="F34" s="10" t="s">
        <v>39</v>
      </c>
      <c r="G34" s="3" t="s">
        <v>313</v>
      </c>
      <c r="H34" s="26" t="s">
        <v>314</v>
      </c>
      <c r="I34" s="27">
        <v>1</v>
      </c>
      <c r="J34" s="3"/>
      <c r="K34" s="3" t="s">
        <v>315</v>
      </c>
      <c r="L34" s="3" t="s">
        <v>111</v>
      </c>
      <c r="M34" s="10" t="s">
        <v>138</v>
      </c>
      <c r="N34" s="3" t="s">
        <v>316</v>
      </c>
    </row>
    <row r="35" spans="1:14" ht="27" x14ac:dyDescent="0.3">
      <c r="A35" s="10" t="s">
        <v>317</v>
      </c>
      <c r="B35" s="3" t="s">
        <v>318</v>
      </c>
      <c r="C35" s="3" t="s">
        <v>319</v>
      </c>
      <c r="D35" s="10" t="s">
        <v>32</v>
      </c>
      <c r="E35" s="10" t="s">
        <v>37</v>
      </c>
      <c r="F35" s="10" t="s">
        <v>39</v>
      </c>
      <c r="G35" s="3" t="s">
        <v>320</v>
      </c>
      <c r="H35" s="26" t="s">
        <v>318</v>
      </c>
      <c r="I35" s="27">
        <v>1</v>
      </c>
      <c r="J35" s="3"/>
      <c r="K35" s="3" t="s">
        <v>321</v>
      </c>
      <c r="L35" s="3" t="s">
        <v>111</v>
      </c>
      <c r="M35" s="10" t="s">
        <v>138</v>
      </c>
      <c r="N35" s="3" t="s">
        <v>322</v>
      </c>
    </row>
    <row r="36" spans="1:14" x14ac:dyDescent="0.3">
      <c r="A36" s="10" t="s">
        <v>323</v>
      </c>
      <c r="B36" s="3" t="s">
        <v>324</v>
      </c>
      <c r="C36" s="3" t="s">
        <v>325</v>
      </c>
      <c r="D36" s="10" t="s">
        <v>29</v>
      </c>
      <c r="E36" s="10" t="s">
        <v>38</v>
      </c>
      <c r="F36" s="10" t="s">
        <v>92</v>
      </c>
      <c r="G36" s="3" t="s">
        <v>326</v>
      </c>
      <c r="H36" s="26" t="s">
        <v>327</v>
      </c>
      <c r="I36" s="27">
        <v>3</v>
      </c>
      <c r="J36" s="3"/>
      <c r="K36" s="3" t="s">
        <v>328</v>
      </c>
      <c r="L36" s="3" t="s">
        <v>96</v>
      </c>
      <c r="M36" s="10" t="s">
        <v>97</v>
      </c>
      <c r="N36" s="3" t="s">
        <v>329</v>
      </c>
    </row>
    <row r="37" spans="1:14" x14ac:dyDescent="0.3">
      <c r="A37" s="10" t="s">
        <v>330</v>
      </c>
      <c r="B37" s="3" t="s">
        <v>331</v>
      </c>
      <c r="C37" s="3" t="s">
        <v>332</v>
      </c>
      <c r="D37" s="10" t="s">
        <v>30</v>
      </c>
      <c r="E37" s="10" t="s">
        <v>38</v>
      </c>
      <c r="F37" s="10" t="s">
        <v>92</v>
      </c>
      <c r="G37" s="3" t="s">
        <v>333</v>
      </c>
      <c r="H37" s="26" t="s">
        <v>334</v>
      </c>
      <c r="I37" s="27">
        <v>3</v>
      </c>
      <c r="J37" s="3"/>
      <c r="K37" s="3" t="s">
        <v>335</v>
      </c>
      <c r="L37" s="3" t="s">
        <v>96</v>
      </c>
      <c r="M37" s="10" t="s">
        <v>97</v>
      </c>
      <c r="N37" s="3"/>
    </row>
    <row r="38" spans="1:14" x14ac:dyDescent="0.3">
      <c r="A38" s="10" t="s">
        <v>336</v>
      </c>
      <c r="B38" s="3" t="s">
        <v>337</v>
      </c>
      <c r="C38" s="3" t="s">
        <v>338</v>
      </c>
      <c r="D38" s="10" t="s">
        <v>29</v>
      </c>
      <c r="E38" s="10" t="s">
        <v>38</v>
      </c>
      <c r="F38" s="10" t="s">
        <v>39</v>
      </c>
      <c r="G38" s="3" t="s">
        <v>339</v>
      </c>
      <c r="H38" s="26" t="s">
        <v>340</v>
      </c>
      <c r="I38" s="27">
        <v>1</v>
      </c>
      <c r="J38" s="3"/>
      <c r="K38" s="3" t="s">
        <v>341</v>
      </c>
      <c r="L38" s="3" t="s">
        <v>111</v>
      </c>
      <c r="M38" s="10" t="s">
        <v>97</v>
      </c>
      <c r="N38" s="3"/>
    </row>
    <row r="39" spans="1:14" ht="27" x14ac:dyDescent="0.3">
      <c r="A39" s="10" t="s">
        <v>342</v>
      </c>
      <c r="B39" s="2" t="s">
        <v>343</v>
      </c>
      <c r="C39" s="3" t="s">
        <v>344</v>
      </c>
      <c r="D39" s="10" t="s">
        <v>30</v>
      </c>
      <c r="E39" s="10" t="s">
        <v>38</v>
      </c>
      <c r="F39" s="10" t="s">
        <v>39</v>
      </c>
      <c r="G39" s="3" t="s">
        <v>345</v>
      </c>
      <c r="H39" s="26" t="s">
        <v>346</v>
      </c>
      <c r="I39" s="27">
        <v>1</v>
      </c>
      <c r="J39" s="3" t="s">
        <v>347</v>
      </c>
      <c r="K39" s="3" t="s">
        <v>348</v>
      </c>
      <c r="L39" s="2" t="s">
        <v>188</v>
      </c>
      <c r="M39" s="10" t="s">
        <v>138</v>
      </c>
      <c r="N39" s="3" t="s">
        <v>349</v>
      </c>
    </row>
    <row r="40" spans="1:14" ht="27" x14ac:dyDescent="0.3">
      <c r="A40" s="10" t="s">
        <v>350</v>
      </c>
      <c r="B40" s="2" t="s">
        <v>351</v>
      </c>
      <c r="C40" s="3" t="s">
        <v>352</v>
      </c>
      <c r="D40" s="10" t="s">
        <v>31</v>
      </c>
      <c r="E40" s="10" t="s">
        <v>38</v>
      </c>
      <c r="F40" s="10" t="s">
        <v>39</v>
      </c>
      <c r="G40" s="3" t="s">
        <v>353</v>
      </c>
      <c r="H40" s="26" t="s">
        <v>346</v>
      </c>
      <c r="I40" s="27">
        <v>1</v>
      </c>
      <c r="J40" s="3" t="s">
        <v>347</v>
      </c>
      <c r="K40" s="3" t="s">
        <v>354</v>
      </c>
      <c r="L40" s="2" t="s">
        <v>188</v>
      </c>
      <c r="M40" s="10" t="s">
        <v>203</v>
      </c>
      <c r="N40" s="3" t="s">
        <v>349</v>
      </c>
    </row>
    <row r="41" spans="1:14" ht="27" x14ac:dyDescent="0.3">
      <c r="A41" s="10" t="s">
        <v>355</v>
      </c>
      <c r="B41" s="2" t="s">
        <v>356</v>
      </c>
      <c r="C41" s="3" t="s">
        <v>357</v>
      </c>
      <c r="D41" s="10" t="s">
        <v>32</v>
      </c>
      <c r="E41" s="10" t="s">
        <v>38</v>
      </c>
      <c r="F41" s="10" t="s">
        <v>39</v>
      </c>
      <c r="G41" s="3" t="s">
        <v>358</v>
      </c>
      <c r="H41" s="26" t="s">
        <v>346</v>
      </c>
      <c r="I41" s="27">
        <v>1</v>
      </c>
      <c r="J41" s="3" t="s">
        <v>347</v>
      </c>
      <c r="K41" s="3" t="s">
        <v>359</v>
      </c>
      <c r="L41" s="2" t="s">
        <v>188</v>
      </c>
      <c r="M41" s="10" t="s">
        <v>203</v>
      </c>
      <c r="N41" s="3" t="s">
        <v>349</v>
      </c>
    </row>
    <row r="42" spans="1:14" x14ac:dyDescent="0.3">
      <c r="A42" s="10" t="s">
        <v>360</v>
      </c>
      <c r="B42" s="3" t="s">
        <v>361</v>
      </c>
      <c r="C42" s="3" t="s">
        <v>362</v>
      </c>
      <c r="D42" s="10" t="s">
        <v>29</v>
      </c>
      <c r="E42" s="10" t="s">
        <v>39</v>
      </c>
      <c r="F42" s="10" t="s">
        <v>92</v>
      </c>
      <c r="G42" s="3" t="s">
        <v>363</v>
      </c>
      <c r="H42" s="26" t="s">
        <v>364</v>
      </c>
      <c r="I42" s="27">
        <v>2</v>
      </c>
      <c r="J42" s="3"/>
      <c r="K42" s="3" t="s">
        <v>365</v>
      </c>
      <c r="L42" s="3" t="s">
        <v>111</v>
      </c>
      <c r="M42" s="10" t="s">
        <v>97</v>
      </c>
      <c r="N42" s="3"/>
    </row>
    <row r="43" spans="1:14" x14ac:dyDescent="0.3">
      <c r="A43" s="10" t="s">
        <v>366</v>
      </c>
      <c r="B43" s="3" t="s">
        <v>367</v>
      </c>
      <c r="C43" s="3" t="s">
        <v>368</v>
      </c>
      <c r="D43" s="10" t="s">
        <v>29</v>
      </c>
      <c r="E43" s="10" t="s">
        <v>39</v>
      </c>
      <c r="F43" s="10" t="s">
        <v>92</v>
      </c>
      <c r="G43" s="3" t="s">
        <v>369</v>
      </c>
      <c r="H43" s="26" t="s">
        <v>370</v>
      </c>
      <c r="I43" s="27">
        <v>3</v>
      </c>
      <c r="J43" s="3"/>
      <c r="K43" s="3" t="s">
        <v>371</v>
      </c>
      <c r="L43" s="3" t="s">
        <v>111</v>
      </c>
      <c r="M43" s="10" t="s">
        <v>97</v>
      </c>
      <c r="N43" s="3"/>
    </row>
    <row r="44" spans="1:14" x14ac:dyDescent="0.3">
      <c r="A44" s="10" t="s">
        <v>372</v>
      </c>
      <c r="B44" s="3" t="s">
        <v>373</v>
      </c>
      <c r="C44" s="3" t="s">
        <v>374</v>
      </c>
      <c r="D44" s="10" t="s">
        <v>29</v>
      </c>
      <c r="E44" s="10" t="s">
        <v>39</v>
      </c>
      <c r="F44" s="10" t="s">
        <v>39</v>
      </c>
      <c r="G44" s="3" t="s">
        <v>375</v>
      </c>
      <c r="H44" s="26" t="s">
        <v>376</v>
      </c>
      <c r="I44" s="27">
        <v>1</v>
      </c>
      <c r="J44" s="3"/>
      <c r="K44" s="3" t="s">
        <v>377</v>
      </c>
      <c r="L44" s="3" t="s">
        <v>111</v>
      </c>
      <c r="M44" s="10" t="s">
        <v>97</v>
      </c>
      <c r="N44" s="3"/>
    </row>
    <row r="45" spans="1:14" x14ac:dyDescent="0.3">
      <c r="A45" s="10" t="s">
        <v>378</v>
      </c>
      <c r="B45" s="3" t="s">
        <v>379</v>
      </c>
      <c r="C45" s="3" t="s">
        <v>380</v>
      </c>
      <c r="D45" s="10" t="s">
        <v>30</v>
      </c>
      <c r="E45" s="10" t="s">
        <v>39</v>
      </c>
      <c r="F45" s="10" t="s">
        <v>92</v>
      </c>
      <c r="G45" s="3" t="s">
        <v>381</v>
      </c>
      <c r="H45" s="26" t="s">
        <v>382</v>
      </c>
      <c r="I45" s="27">
        <v>2</v>
      </c>
      <c r="J45" s="3"/>
      <c r="K45" s="3" t="s">
        <v>383</v>
      </c>
      <c r="L45" s="3" t="s">
        <v>111</v>
      </c>
      <c r="M45" s="10" t="s">
        <v>97</v>
      </c>
      <c r="N45" s="3" t="s">
        <v>384</v>
      </c>
    </row>
    <row r="46" spans="1:14" x14ac:dyDescent="0.3">
      <c r="A46" s="10" t="s">
        <v>385</v>
      </c>
      <c r="B46" s="3" t="s">
        <v>386</v>
      </c>
      <c r="C46" s="3" t="s">
        <v>387</v>
      </c>
      <c r="D46" s="10" t="s">
        <v>30</v>
      </c>
      <c r="E46" s="10" t="s">
        <v>39</v>
      </c>
      <c r="F46" s="10" t="s">
        <v>92</v>
      </c>
      <c r="G46" s="3" t="s">
        <v>388</v>
      </c>
      <c r="H46" s="26" t="s">
        <v>389</v>
      </c>
      <c r="I46" s="27">
        <v>3</v>
      </c>
      <c r="J46" s="3"/>
      <c r="K46" s="3" t="s">
        <v>390</v>
      </c>
      <c r="L46" s="3" t="s">
        <v>111</v>
      </c>
      <c r="M46" s="10" t="s">
        <v>97</v>
      </c>
      <c r="N46" s="3"/>
    </row>
    <row r="47" spans="1:14" ht="27" x14ac:dyDescent="0.3">
      <c r="A47" s="10" t="s">
        <v>391</v>
      </c>
      <c r="B47" s="3" t="s">
        <v>392</v>
      </c>
      <c r="C47" s="3" t="s">
        <v>393</v>
      </c>
      <c r="D47" s="10" t="s">
        <v>31</v>
      </c>
      <c r="E47" s="10" t="s">
        <v>39</v>
      </c>
      <c r="F47" s="10" t="s">
        <v>134</v>
      </c>
      <c r="G47" s="3" t="s">
        <v>394</v>
      </c>
      <c r="H47" s="26" t="s">
        <v>395</v>
      </c>
      <c r="I47" s="27">
        <v>2</v>
      </c>
      <c r="J47" s="3"/>
      <c r="K47" s="3" t="s">
        <v>396</v>
      </c>
      <c r="L47" s="3" t="s">
        <v>111</v>
      </c>
      <c r="M47" s="10" t="s">
        <v>138</v>
      </c>
      <c r="N47" s="3" t="s">
        <v>397</v>
      </c>
    </row>
    <row r="48" spans="1:14" x14ac:dyDescent="0.3">
      <c r="A48" s="10" t="s">
        <v>398</v>
      </c>
      <c r="B48" s="3" t="s">
        <v>399</v>
      </c>
      <c r="C48" s="3" t="s">
        <v>400</v>
      </c>
      <c r="D48" s="10" t="s">
        <v>31</v>
      </c>
      <c r="E48" s="10" t="s">
        <v>39</v>
      </c>
      <c r="F48" s="10" t="s">
        <v>39</v>
      </c>
      <c r="G48" s="3" t="s">
        <v>401</v>
      </c>
      <c r="H48" s="26" t="s">
        <v>402</v>
      </c>
      <c r="I48" s="27">
        <v>1</v>
      </c>
      <c r="J48" s="3"/>
      <c r="K48" s="3" t="s">
        <v>403</v>
      </c>
      <c r="L48" s="3" t="s">
        <v>111</v>
      </c>
      <c r="M48" s="10" t="s">
        <v>97</v>
      </c>
      <c r="N48" s="3"/>
    </row>
    <row r="49" spans="1:14" x14ac:dyDescent="0.3">
      <c r="A49" s="10" t="s">
        <v>404</v>
      </c>
      <c r="B49" s="3" t="s">
        <v>405</v>
      </c>
      <c r="C49" s="3" t="s">
        <v>406</v>
      </c>
      <c r="D49" s="10" t="s">
        <v>31</v>
      </c>
      <c r="E49" s="10" t="s">
        <v>39</v>
      </c>
      <c r="F49" s="10" t="s">
        <v>39</v>
      </c>
      <c r="G49" s="3" t="s">
        <v>407</v>
      </c>
      <c r="H49" s="26" t="s">
        <v>408</v>
      </c>
      <c r="I49" s="27">
        <v>1</v>
      </c>
      <c r="J49" s="3"/>
      <c r="K49" s="3" t="s">
        <v>409</v>
      </c>
      <c r="L49" s="3" t="s">
        <v>111</v>
      </c>
      <c r="M49" s="10" t="s">
        <v>138</v>
      </c>
      <c r="N49" s="3"/>
    </row>
    <row r="50" spans="1:14" ht="27" x14ac:dyDescent="0.3">
      <c r="A50" s="10" t="s">
        <v>410</v>
      </c>
      <c r="B50" s="3" t="s">
        <v>411</v>
      </c>
      <c r="C50" s="3" t="s">
        <v>412</v>
      </c>
      <c r="D50" s="10" t="s">
        <v>32</v>
      </c>
      <c r="E50" s="10" t="s">
        <v>39</v>
      </c>
      <c r="F50" s="10" t="s">
        <v>39</v>
      </c>
      <c r="G50" s="3" t="s">
        <v>413</v>
      </c>
      <c r="H50" s="26" t="s">
        <v>414</v>
      </c>
      <c r="I50" s="27">
        <v>1</v>
      </c>
      <c r="J50" s="3"/>
      <c r="K50" s="3" t="s">
        <v>415</v>
      </c>
      <c r="L50" s="3" t="s">
        <v>111</v>
      </c>
      <c r="M50" s="10" t="s">
        <v>203</v>
      </c>
      <c r="N50" s="3" t="s">
        <v>416</v>
      </c>
    </row>
  </sheetData>
  <autoFilter ref="A1:N50" xr:uid="{00000000-0009-0000-0000-000003000000}"/>
  <phoneticPr fontId="7" type="noConversion"/>
  <conditionalFormatting sqref="D2:D50">
    <cfRule type="expression" dxfId="7" priority="1">
      <formula>$D2="일반"</formula>
    </cfRule>
    <cfRule type="expression" dxfId="6" priority="2">
      <formula>$D2="희귀"</formula>
    </cfRule>
    <cfRule type="expression" dxfId="5" priority="3">
      <formula>$D2="영웅"</formula>
    </cfRule>
    <cfRule type="expression" dxfId="4" priority="4">
      <formula>$D2="전설"</formula>
    </cfRule>
  </conditionalFormatting>
  <conditionalFormatting sqref="F2:F50">
    <cfRule type="expression" dxfId="3" priority="5">
      <formula>$F2="능력치"</formula>
    </cfRule>
    <cfRule type="expression" dxfId="2" priority="6">
      <formula>$F2="특수"</formula>
    </cfRule>
    <cfRule type="expression" dxfId="1" priority="7">
      <formula>$F2="특수(중첩)"</formula>
    </cfRule>
    <cfRule type="expression" dxfId="0" priority="8">
      <formula>$F2="소모"</formula>
    </cfRule>
  </conditionalFormatting>
  <dataValidations count="4">
    <dataValidation type="list" sqref="D2:D80" xr:uid="{00000000-0002-0000-0300-000000000000}">
      <formula1>"일반,희귀,영웅,전설"</formula1>
    </dataValidation>
    <dataValidation type="list" sqref="E2:E80" xr:uid="{00000000-0002-0000-0300-000001000000}">
      <formula1>"공격,방어,이동,대시,필살기,특수"</formula1>
    </dataValidation>
    <dataValidation type="list" sqref="F2:F80" xr:uid="{00000000-0002-0000-0300-000002000000}">
      <formula1>"능력치,특수,특수(중첩),소모"</formula1>
    </dataValidation>
    <dataValidation type="list" allowBlank="1" sqref="M2:M80" xr:uid="{00000000-0002-0000-0300-000003000000}">
      <formula1>"하,중,상"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workbookViewId="0"/>
  </sheetViews>
  <sheetFormatPr defaultRowHeight="16.5" x14ac:dyDescent="0.3"/>
  <cols>
    <col min="1" max="1" width="30" customWidth="1"/>
    <col min="2" max="2" width="34" customWidth="1"/>
    <col min="3" max="3" width="44" customWidth="1"/>
  </cols>
  <sheetData>
    <row r="1" spans="1:3" ht="20.25" x14ac:dyDescent="0.35">
      <c r="A1" s="1" t="s">
        <v>417</v>
      </c>
    </row>
    <row r="3" spans="1:3" x14ac:dyDescent="0.3">
      <c r="A3" s="5" t="s">
        <v>80</v>
      </c>
      <c r="B3" s="5" t="s">
        <v>418</v>
      </c>
      <c r="C3" s="5" t="s">
        <v>419</v>
      </c>
    </row>
    <row r="4" spans="1:3" ht="40.5" x14ac:dyDescent="0.3">
      <c r="A4" s="28" t="s">
        <v>92</v>
      </c>
      <c r="B4" s="3" t="s">
        <v>420</v>
      </c>
      <c r="C4" s="3" t="s">
        <v>421</v>
      </c>
    </row>
    <row r="5" spans="1:3" ht="40.5" x14ac:dyDescent="0.3">
      <c r="A5" s="29" t="s">
        <v>39</v>
      </c>
      <c r="B5" s="3" t="s">
        <v>422</v>
      </c>
      <c r="C5" s="3" t="s">
        <v>423</v>
      </c>
    </row>
    <row r="6" spans="1:3" ht="40.5" x14ac:dyDescent="0.3">
      <c r="A6" s="30" t="s">
        <v>134</v>
      </c>
      <c r="B6" s="3" t="s">
        <v>420</v>
      </c>
      <c r="C6" s="3" t="s">
        <v>424</v>
      </c>
    </row>
    <row r="7" spans="1:3" ht="27" x14ac:dyDescent="0.3">
      <c r="A7" s="31" t="s">
        <v>214</v>
      </c>
      <c r="B7" s="3" t="s">
        <v>425</v>
      </c>
      <c r="C7" s="3" t="s">
        <v>426</v>
      </c>
    </row>
    <row r="9" spans="1:3" x14ac:dyDescent="0.3">
      <c r="A9" s="13" t="s">
        <v>427</v>
      </c>
    </row>
    <row r="10" spans="1:3" x14ac:dyDescent="0.3">
      <c r="A10" s="5" t="s">
        <v>428</v>
      </c>
      <c r="B10" s="5" t="s">
        <v>429</v>
      </c>
      <c r="C10" s="5" t="s">
        <v>430</v>
      </c>
    </row>
    <row r="11" spans="1:3" ht="27" x14ac:dyDescent="0.3">
      <c r="A11" s="3" t="s">
        <v>431</v>
      </c>
      <c r="B11" s="3" t="s">
        <v>432</v>
      </c>
      <c r="C11" s="3" t="s">
        <v>433</v>
      </c>
    </row>
    <row r="12" spans="1:3" x14ac:dyDescent="0.3">
      <c r="A12" s="3" t="s">
        <v>434</v>
      </c>
      <c r="B12" s="3" t="s">
        <v>435</v>
      </c>
      <c r="C12" s="3" t="s">
        <v>433</v>
      </c>
    </row>
    <row r="13" spans="1:3" x14ac:dyDescent="0.3">
      <c r="A13" s="3" t="s">
        <v>436</v>
      </c>
      <c r="B13" s="3" t="s">
        <v>437</v>
      </c>
      <c r="C13" s="3" t="s">
        <v>433</v>
      </c>
    </row>
    <row r="14" spans="1:3" x14ac:dyDescent="0.3">
      <c r="A14" s="3" t="s">
        <v>438</v>
      </c>
      <c r="B14" s="3" t="s">
        <v>439</v>
      </c>
      <c r="C14" s="3" t="s">
        <v>440</v>
      </c>
    </row>
    <row r="15" spans="1:3" ht="27" x14ac:dyDescent="0.3">
      <c r="A15" s="3" t="s">
        <v>441</v>
      </c>
      <c r="B15" s="3" t="s">
        <v>442</v>
      </c>
      <c r="C15" s="3" t="s">
        <v>443</v>
      </c>
    </row>
    <row r="16" spans="1:3" x14ac:dyDescent="0.3">
      <c r="A16" s="3" t="s">
        <v>444</v>
      </c>
      <c r="B16" s="3" t="s">
        <v>445</v>
      </c>
      <c r="C16" s="3" t="s">
        <v>433</v>
      </c>
    </row>
    <row r="17" spans="1:3" ht="27" x14ac:dyDescent="0.3">
      <c r="A17" s="3" t="s">
        <v>446</v>
      </c>
      <c r="B17" s="3" t="s">
        <v>447</v>
      </c>
      <c r="C17" s="3" t="s">
        <v>448</v>
      </c>
    </row>
    <row r="18" spans="1:3" x14ac:dyDescent="0.3">
      <c r="A18" s="3" t="s">
        <v>449</v>
      </c>
      <c r="B18" s="3" t="s">
        <v>450</v>
      </c>
      <c r="C18" s="3" t="s">
        <v>451</v>
      </c>
    </row>
    <row r="19" spans="1:3" x14ac:dyDescent="0.3">
      <c r="A19" s="3" t="s">
        <v>452</v>
      </c>
      <c r="B19" s="3" t="s">
        <v>453</v>
      </c>
      <c r="C19" s="3" t="s">
        <v>433</v>
      </c>
    </row>
    <row r="20" spans="1:3" ht="27" x14ac:dyDescent="0.3">
      <c r="A20" s="3" t="s">
        <v>454</v>
      </c>
      <c r="B20" s="3" t="s">
        <v>455</v>
      </c>
      <c r="C20" s="3" t="s">
        <v>433</v>
      </c>
    </row>
    <row r="21" spans="1:3" x14ac:dyDescent="0.3">
      <c r="A21" s="3" t="s">
        <v>456</v>
      </c>
      <c r="B21" s="3" t="s">
        <v>457</v>
      </c>
      <c r="C21" s="3" t="s">
        <v>458</v>
      </c>
    </row>
    <row r="22" spans="1:3" ht="27" x14ac:dyDescent="0.3">
      <c r="A22" s="3" t="s">
        <v>459</v>
      </c>
      <c r="B22" s="3" t="s">
        <v>460</v>
      </c>
      <c r="C22" s="3" t="s">
        <v>461</v>
      </c>
    </row>
    <row r="23" spans="1:3" x14ac:dyDescent="0.3">
      <c r="A23" s="3" t="s">
        <v>462</v>
      </c>
      <c r="B23" s="3" t="s">
        <v>463</v>
      </c>
      <c r="C23" s="3" t="s">
        <v>433</v>
      </c>
    </row>
    <row r="24" spans="1:3" ht="27" x14ac:dyDescent="0.3">
      <c r="A24" s="3" t="s">
        <v>464</v>
      </c>
      <c r="B24" s="3" t="s">
        <v>465</v>
      </c>
      <c r="C24" s="3" t="s">
        <v>433</v>
      </c>
    </row>
  </sheetData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workbookViewId="0"/>
  </sheetViews>
  <sheetFormatPr defaultRowHeight="16.5" x14ac:dyDescent="0.3"/>
  <cols>
    <col min="1" max="1" width="7" customWidth="1"/>
    <col min="2" max="2" width="16" customWidth="1"/>
    <col min="3" max="3" width="15" customWidth="1"/>
    <col min="4" max="4" width="16" customWidth="1"/>
    <col min="5" max="5" width="50" customWidth="1"/>
    <col min="6" max="6" width="12" customWidth="1"/>
    <col min="7" max="7" width="11" customWidth="1"/>
    <col min="8" max="8" width="12" customWidth="1"/>
    <col min="9" max="9" width="40" customWidth="1"/>
  </cols>
  <sheetData>
    <row r="1" spans="1:9" ht="20.25" x14ac:dyDescent="0.35">
      <c r="A1" s="1" t="s">
        <v>466</v>
      </c>
    </row>
    <row r="3" spans="1:9" x14ac:dyDescent="0.3">
      <c r="A3" s="5" t="s">
        <v>9</v>
      </c>
      <c r="B3" s="5" t="s">
        <v>38</v>
      </c>
      <c r="C3" s="5" t="s">
        <v>78</v>
      </c>
      <c r="D3" s="5" t="s">
        <v>467</v>
      </c>
      <c r="E3" s="5" t="s">
        <v>468</v>
      </c>
      <c r="F3" s="5" t="s">
        <v>469</v>
      </c>
      <c r="G3" s="5" t="s">
        <v>470</v>
      </c>
      <c r="H3" s="5" t="s">
        <v>471</v>
      </c>
      <c r="I3" s="5" t="s">
        <v>472</v>
      </c>
    </row>
    <row r="4" spans="1:9" ht="27" x14ac:dyDescent="0.3">
      <c r="A4" s="10" t="s">
        <v>473</v>
      </c>
      <c r="B4" s="3" t="s">
        <v>474</v>
      </c>
      <c r="C4" s="3" t="s">
        <v>475</v>
      </c>
      <c r="D4" s="3" t="s">
        <v>476</v>
      </c>
      <c r="E4" s="3" t="s">
        <v>477</v>
      </c>
      <c r="F4" s="27">
        <v>6</v>
      </c>
      <c r="G4" s="27">
        <v>20</v>
      </c>
      <c r="H4" s="27">
        <v>0</v>
      </c>
      <c r="I4" s="3" t="s">
        <v>478</v>
      </c>
    </row>
    <row r="5" spans="1:9" ht="27" x14ac:dyDescent="0.3">
      <c r="A5" s="21" t="s">
        <v>30</v>
      </c>
      <c r="B5" s="3" t="s">
        <v>479</v>
      </c>
      <c r="C5" s="3" t="s">
        <v>344</v>
      </c>
      <c r="D5" s="3" t="s">
        <v>480</v>
      </c>
      <c r="E5" s="3" t="s">
        <v>481</v>
      </c>
      <c r="F5" s="27">
        <v>3</v>
      </c>
      <c r="G5" s="27">
        <v>2</v>
      </c>
      <c r="H5" s="27">
        <v>3</v>
      </c>
      <c r="I5" s="3" t="s">
        <v>482</v>
      </c>
    </row>
    <row r="6" spans="1:9" ht="27" x14ac:dyDescent="0.3">
      <c r="A6" s="22" t="s">
        <v>31</v>
      </c>
      <c r="B6" s="3" t="s">
        <v>483</v>
      </c>
      <c r="C6" s="3" t="s">
        <v>352</v>
      </c>
      <c r="D6" s="3" t="s">
        <v>484</v>
      </c>
      <c r="E6" s="3" t="s">
        <v>485</v>
      </c>
      <c r="F6" s="27">
        <v>1.5</v>
      </c>
      <c r="G6" s="27">
        <v>3</v>
      </c>
      <c r="H6" s="27">
        <v>4</v>
      </c>
      <c r="I6" s="3" t="s">
        <v>486</v>
      </c>
    </row>
    <row r="7" spans="1:9" ht="27" x14ac:dyDescent="0.3">
      <c r="A7" s="23" t="s">
        <v>32</v>
      </c>
      <c r="B7" s="3" t="s">
        <v>487</v>
      </c>
      <c r="C7" s="3" t="s">
        <v>357</v>
      </c>
      <c r="D7" s="3" t="s">
        <v>488</v>
      </c>
      <c r="E7" s="3" t="s">
        <v>489</v>
      </c>
      <c r="F7" s="27">
        <v>8</v>
      </c>
      <c r="G7" s="27">
        <v>30</v>
      </c>
      <c r="H7" s="27">
        <v>4</v>
      </c>
      <c r="I7" s="3" t="s">
        <v>490</v>
      </c>
    </row>
    <row r="8" spans="1:9" x14ac:dyDescent="0.3">
      <c r="E8" s="13" t="s">
        <v>491</v>
      </c>
    </row>
    <row r="9" spans="1:9" x14ac:dyDescent="0.3">
      <c r="E9" s="12" t="s">
        <v>492</v>
      </c>
    </row>
    <row r="10" spans="1:9" x14ac:dyDescent="0.3">
      <c r="B10" s="5" t="s">
        <v>38</v>
      </c>
      <c r="C10" s="5" t="s">
        <v>493</v>
      </c>
      <c r="D10" s="5" t="s">
        <v>494</v>
      </c>
      <c r="E10" s="5" t="s">
        <v>495</v>
      </c>
    </row>
    <row r="11" spans="1:9" x14ac:dyDescent="0.3">
      <c r="B11" s="10" t="str">
        <f>B4</f>
        <v>섀도우 펄스</v>
      </c>
      <c r="C11" s="27">
        <v>1</v>
      </c>
      <c r="D11" s="10">
        <f>F4*C11</f>
        <v>6</v>
      </c>
      <c r="E11" s="10">
        <f>G4*1</f>
        <v>20</v>
      </c>
    </row>
    <row r="12" spans="1:9" x14ac:dyDescent="0.3">
      <c r="B12" s="10" t="str">
        <f>B5</f>
        <v>섀도우 레인</v>
      </c>
      <c r="C12" s="27">
        <v>2</v>
      </c>
      <c r="D12" s="10">
        <f>F5*C12</f>
        <v>6</v>
      </c>
      <c r="E12" s="10">
        <f>G5*18</f>
        <v>36</v>
      </c>
    </row>
    <row r="13" spans="1:9" x14ac:dyDescent="0.3">
      <c r="B13" s="10" t="str">
        <f>B6</f>
        <v>블랙홀</v>
      </c>
      <c r="C13" s="27">
        <v>16</v>
      </c>
      <c r="D13" s="10">
        <f>F6*C13</f>
        <v>24</v>
      </c>
      <c r="E13" s="10">
        <f>G6*16</f>
        <v>48</v>
      </c>
    </row>
    <row r="14" spans="1:9" x14ac:dyDescent="0.3">
      <c r="B14" s="10" t="str">
        <f>B7</f>
        <v>나이트메어</v>
      </c>
      <c r="C14" s="27">
        <v>1</v>
      </c>
      <c r="D14" s="10">
        <f>F7*C14</f>
        <v>8</v>
      </c>
      <c r="E14" s="10">
        <f>G7</f>
        <v>30</v>
      </c>
    </row>
    <row r="15" spans="1:9" ht="32.1" customHeight="1" x14ac:dyDescent="0.3">
      <c r="B15" s="36" t="s">
        <v>496</v>
      </c>
      <c r="C15" s="37"/>
      <c r="D15" s="37"/>
      <c r="E15" s="37"/>
      <c r="F15" s="37"/>
      <c r="G15" s="37"/>
      <c r="H15" s="37"/>
      <c r="I15" s="37"/>
    </row>
  </sheetData>
  <mergeCells count="1">
    <mergeCell ref="B15:I15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4"/>
  <sheetViews>
    <sheetView workbookViewId="0"/>
  </sheetViews>
  <sheetFormatPr defaultRowHeight="16.5" x14ac:dyDescent="0.3"/>
  <cols>
    <col min="1" max="1" width="16" customWidth="1"/>
    <col min="2" max="2" width="12" customWidth="1"/>
    <col min="3" max="4" width="14" customWidth="1"/>
    <col min="5" max="6" width="16" customWidth="1"/>
    <col min="8" max="8" width="26" customWidth="1"/>
    <col min="9" max="9" width="10" customWidth="1"/>
  </cols>
  <sheetData>
    <row r="1" spans="1:10" ht="20.25" x14ac:dyDescent="0.35">
      <c r="A1" s="1" t="s">
        <v>497</v>
      </c>
    </row>
    <row r="3" spans="1:10" x14ac:dyDescent="0.3">
      <c r="A3" s="5" t="s">
        <v>498</v>
      </c>
      <c r="B3" s="5" t="s">
        <v>499</v>
      </c>
      <c r="C3" s="5" t="s">
        <v>500</v>
      </c>
      <c r="D3" s="5" t="s">
        <v>501</v>
      </c>
      <c r="E3" s="5" t="s">
        <v>502</v>
      </c>
      <c r="F3" s="5" t="s">
        <v>503</v>
      </c>
      <c r="H3" s="13" t="s">
        <v>504</v>
      </c>
    </row>
    <row r="4" spans="1:10" x14ac:dyDescent="0.3">
      <c r="A4" s="10" t="s">
        <v>505</v>
      </c>
      <c r="B4" s="27">
        <v>2</v>
      </c>
      <c r="C4" s="10">
        <v>9</v>
      </c>
      <c r="D4" s="10">
        <v>12</v>
      </c>
      <c r="E4" s="10">
        <f>B4*C4</f>
        <v>18</v>
      </c>
      <c r="F4" s="10">
        <f>B4*D4</f>
        <v>24</v>
      </c>
      <c r="H4" s="32" t="s">
        <v>506</v>
      </c>
      <c r="I4" s="33">
        <v>6</v>
      </c>
    </row>
    <row r="5" spans="1:10" x14ac:dyDescent="0.3">
      <c r="A5" s="10" t="s">
        <v>507</v>
      </c>
      <c r="B5" s="27">
        <v>2</v>
      </c>
      <c r="C5" s="10">
        <v>0</v>
      </c>
      <c r="D5" s="10">
        <v>7</v>
      </c>
      <c r="E5" s="10">
        <f>B5*C5</f>
        <v>0</v>
      </c>
      <c r="F5" s="10">
        <f>B5*D5</f>
        <v>14</v>
      </c>
      <c r="H5" s="32" t="s">
        <v>508</v>
      </c>
      <c r="I5" s="33">
        <v>3</v>
      </c>
    </row>
    <row r="6" spans="1:10" x14ac:dyDescent="0.3">
      <c r="A6" s="10" t="s">
        <v>509</v>
      </c>
      <c r="B6" s="27">
        <v>4</v>
      </c>
      <c r="C6" s="10">
        <v>3</v>
      </c>
      <c r="D6" s="10">
        <v>6</v>
      </c>
      <c r="E6" s="10">
        <f>B6*C6</f>
        <v>12</v>
      </c>
      <c r="F6" s="10">
        <f>B6*D6</f>
        <v>24</v>
      </c>
      <c r="H6" s="32" t="s">
        <v>510</v>
      </c>
      <c r="I6" s="34">
        <v>0.85</v>
      </c>
      <c r="J6" s="12" t="s">
        <v>511</v>
      </c>
    </row>
    <row r="7" spans="1:10" x14ac:dyDescent="0.3">
      <c r="A7" s="10" t="s">
        <v>512</v>
      </c>
      <c r="B7" s="27">
        <v>4</v>
      </c>
      <c r="C7" s="10">
        <v>2</v>
      </c>
      <c r="D7" s="10">
        <v>5</v>
      </c>
      <c r="E7" s="10">
        <f>B7*C7</f>
        <v>8</v>
      </c>
      <c r="F7" s="10">
        <f>B7*D7</f>
        <v>20</v>
      </c>
    </row>
    <row r="8" spans="1:10" x14ac:dyDescent="0.3">
      <c r="A8" s="11" t="s">
        <v>33</v>
      </c>
      <c r="B8" s="11"/>
      <c r="C8" s="11">
        <f>SUM(C4:C7)</f>
        <v>14</v>
      </c>
      <c r="D8" s="11">
        <f>SUM(D4:D7)</f>
        <v>30</v>
      </c>
      <c r="E8" s="11">
        <f>SUM(E4:E7)</f>
        <v>38</v>
      </c>
      <c r="F8" s="11">
        <f>SUM(F4:F7)</f>
        <v>82</v>
      </c>
    </row>
    <row r="9" spans="1:10" x14ac:dyDescent="0.3">
      <c r="A9" s="5" t="s">
        <v>513</v>
      </c>
      <c r="B9" s="5" t="s">
        <v>514</v>
      </c>
      <c r="C9" s="5" t="s">
        <v>515</v>
      </c>
      <c r="H9" s="13" t="s">
        <v>516</v>
      </c>
    </row>
    <row r="10" spans="1:10" x14ac:dyDescent="0.3">
      <c r="A10" s="10">
        <v>1</v>
      </c>
      <c r="B10" s="10">
        <f t="shared" ref="B10:B24" si="0">$I$4+$I$5*(A10-1)</f>
        <v>6</v>
      </c>
      <c r="C10" s="10">
        <f>B10</f>
        <v>6</v>
      </c>
      <c r="H10" s="32" t="s">
        <v>517</v>
      </c>
      <c r="I10" s="35">
        <f>E8*I6</f>
        <v>32.299999999999997</v>
      </c>
    </row>
    <row r="11" spans="1:10" x14ac:dyDescent="0.3">
      <c r="A11" s="10">
        <v>2</v>
      </c>
      <c r="B11" s="10">
        <f t="shared" si="0"/>
        <v>9</v>
      </c>
      <c r="C11" s="10">
        <f t="shared" ref="C11:C24" si="1">C10+B11</f>
        <v>15</v>
      </c>
      <c r="H11" s="32" t="s">
        <v>518</v>
      </c>
      <c r="I11" s="35">
        <f>IFERROR(MATCH(I10,$C$10:$C$24,1),0)+1</f>
        <v>4</v>
      </c>
    </row>
    <row r="12" spans="1:10" x14ac:dyDescent="0.3">
      <c r="A12" s="10">
        <v>3</v>
      </c>
      <c r="B12" s="10">
        <f t="shared" si="0"/>
        <v>12</v>
      </c>
      <c r="C12" s="10">
        <f t="shared" si="1"/>
        <v>27</v>
      </c>
      <c r="H12" s="32" t="s">
        <v>519</v>
      </c>
      <c r="I12" s="35">
        <f>(E8+F8)*I6</f>
        <v>102</v>
      </c>
    </row>
    <row r="13" spans="1:10" x14ac:dyDescent="0.3">
      <c r="A13" s="10">
        <v>4</v>
      </c>
      <c r="B13" s="10">
        <f t="shared" si="0"/>
        <v>15</v>
      </c>
      <c r="C13" s="10">
        <f t="shared" si="1"/>
        <v>42</v>
      </c>
      <c r="H13" s="32" t="s">
        <v>520</v>
      </c>
      <c r="I13" s="35">
        <f>IFERROR(MATCH(I12,$C$10:$C$24,1),0)+1</f>
        <v>7</v>
      </c>
    </row>
    <row r="14" spans="1:10" x14ac:dyDescent="0.3">
      <c r="A14" s="10">
        <v>5</v>
      </c>
      <c r="B14" s="10">
        <f t="shared" si="0"/>
        <v>18</v>
      </c>
      <c r="C14" s="10">
        <f t="shared" si="1"/>
        <v>60</v>
      </c>
      <c r="H14" s="32" t="s">
        <v>521</v>
      </c>
      <c r="I14" s="35">
        <f>I13-1</f>
        <v>6</v>
      </c>
    </row>
    <row r="15" spans="1:10" x14ac:dyDescent="0.3">
      <c r="A15" s="10">
        <v>6</v>
      </c>
      <c r="B15" s="10">
        <f t="shared" si="0"/>
        <v>21</v>
      </c>
      <c r="C15" s="10">
        <f t="shared" si="1"/>
        <v>81</v>
      </c>
      <c r="H15" s="32" t="s">
        <v>522</v>
      </c>
      <c r="I15" s="35">
        <v>2</v>
      </c>
    </row>
    <row r="16" spans="1:10" x14ac:dyDescent="0.3">
      <c r="A16" s="10">
        <v>7</v>
      </c>
      <c r="B16" s="10">
        <f t="shared" si="0"/>
        <v>24</v>
      </c>
      <c r="C16" s="10">
        <f t="shared" si="1"/>
        <v>105</v>
      </c>
      <c r="H16" s="32" t="s">
        <v>523</v>
      </c>
      <c r="I16" s="35">
        <f>I14+I15</f>
        <v>8</v>
      </c>
    </row>
    <row r="17" spans="1:12" x14ac:dyDescent="0.3">
      <c r="A17" s="10">
        <v>8</v>
      </c>
      <c r="B17" s="10">
        <f t="shared" si="0"/>
        <v>27</v>
      </c>
      <c r="C17" s="10">
        <f t="shared" si="1"/>
        <v>132</v>
      </c>
    </row>
    <row r="18" spans="1:12" x14ac:dyDescent="0.3">
      <c r="A18" s="10">
        <v>9</v>
      </c>
      <c r="B18" s="10">
        <f t="shared" si="0"/>
        <v>30</v>
      </c>
      <c r="C18" s="10">
        <f t="shared" si="1"/>
        <v>162</v>
      </c>
      <c r="H18" s="36" t="s">
        <v>524</v>
      </c>
      <c r="I18" s="37"/>
      <c r="J18" s="37"/>
      <c r="K18" s="37"/>
      <c r="L18" s="37"/>
    </row>
    <row r="19" spans="1:12" x14ac:dyDescent="0.3">
      <c r="A19" s="10">
        <v>10</v>
      </c>
      <c r="B19" s="10">
        <f t="shared" si="0"/>
        <v>33</v>
      </c>
      <c r="C19" s="10">
        <f t="shared" si="1"/>
        <v>195</v>
      </c>
      <c r="H19" s="37"/>
      <c r="I19" s="37"/>
      <c r="J19" s="37"/>
      <c r="K19" s="37"/>
      <c r="L19" s="37"/>
    </row>
    <row r="20" spans="1:12" x14ac:dyDescent="0.3">
      <c r="A20" s="10">
        <v>11</v>
      </c>
      <c r="B20" s="10">
        <f t="shared" si="0"/>
        <v>36</v>
      </c>
      <c r="C20" s="10">
        <f t="shared" si="1"/>
        <v>231</v>
      </c>
      <c r="H20" s="37"/>
      <c r="I20" s="37"/>
      <c r="J20" s="37"/>
      <c r="K20" s="37"/>
      <c r="L20" s="37"/>
    </row>
    <row r="21" spans="1:12" x14ac:dyDescent="0.3">
      <c r="A21" s="10">
        <v>12</v>
      </c>
      <c r="B21" s="10">
        <f t="shared" si="0"/>
        <v>39</v>
      </c>
      <c r="C21" s="10">
        <f t="shared" si="1"/>
        <v>270</v>
      </c>
    </row>
    <row r="22" spans="1:12" x14ac:dyDescent="0.3">
      <c r="A22" s="10">
        <v>13</v>
      </c>
      <c r="B22" s="10">
        <f t="shared" si="0"/>
        <v>42</v>
      </c>
      <c r="C22" s="10">
        <f t="shared" si="1"/>
        <v>312</v>
      </c>
    </row>
    <row r="23" spans="1:12" x14ac:dyDescent="0.3">
      <c r="A23" s="10">
        <v>14</v>
      </c>
      <c r="B23" s="10">
        <f t="shared" si="0"/>
        <v>45</v>
      </c>
      <c r="C23" s="10">
        <f t="shared" si="1"/>
        <v>357</v>
      </c>
    </row>
    <row r="24" spans="1:12" x14ac:dyDescent="0.3">
      <c r="A24" s="10">
        <v>15</v>
      </c>
      <c r="B24" s="10">
        <f t="shared" si="0"/>
        <v>48</v>
      </c>
      <c r="C24" s="10">
        <f t="shared" si="1"/>
        <v>405</v>
      </c>
    </row>
  </sheetData>
  <mergeCells count="1">
    <mergeCell ref="H18:L20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2"/>
  <sheetViews>
    <sheetView workbookViewId="0"/>
  </sheetViews>
  <sheetFormatPr defaultRowHeight="16.5" x14ac:dyDescent="0.3"/>
  <cols>
    <col min="1" max="1" width="26" customWidth="1"/>
    <col min="2" max="2" width="14" customWidth="1"/>
    <col min="3" max="4" width="16" customWidth="1"/>
    <col min="5" max="8" width="22" customWidth="1"/>
  </cols>
  <sheetData>
    <row r="1" spans="1:8" ht="20.25" x14ac:dyDescent="0.35">
      <c r="A1" s="1" t="s">
        <v>525</v>
      </c>
    </row>
    <row r="3" spans="1:8" x14ac:dyDescent="0.3">
      <c r="A3" s="32" t="s">
        <v>526</v>
      </c>
      <c r="B3" s="33">
        <v>50</v>
      </c>
      <c r="C3" s="12" t="s">
        <v>527</v>
      </c>
    </row>
    <row r="4" spans="1:8" x14ac:dyDescent="0.3">
      <c r="A4" s="32" t="s">
        <v>528</v>
      </c>
      <c r="B4" s="33">
        <v>0</v>
      </c>
    </row>
    <row r="5" spans="1:8" x14ac:dyDescent="0.3">
      <c r="A5" s="32" t="s">
        <v>529</v>
      </c>
      <c r="B5" s="33" t="s">
        <v>530</v>
      </c>
    </row>
    <row r="7" spans="1:8" x14ac:dyDescent="0.3">
      <c r="A7" s="5" t="s">
        <v>531</v>
      </c>
      <c r="B7" s="5" t="s">
        <v>532</v>
      </c>
      <c r="C7" s="5" t="s">
        <v>533</v>
      </c>
      <c r="E7" s="5" t="s">
        <v>13</v>
      </c>
      <c r="F7" s="5" t="s">
        <v>534</v>
      </c>
      <c r="G7" s="5" t="s">
        <v>535</v>
      </c>
      <c r="H7" s="5" t="s">
        <v>536</v>
      </c>
    </row>
    <row r="8" spans="1:8" x14ac:dyDescent="0.3">
      <c r="A8" s="10">
        <v>1</v>
      </c>
      <c r="B8" s="10">
        <f t="shared" ref="B8:B13" si="0">$B$3+$B$4*(A8-1)</f>
        <v>50</v>
      </c>
      <c r="C8" s="10">
        <f>B8</f>
        <v>50</v>
      </c>
      <c r="D8" s="10"/>
      <c r="E8" s="10" t="s">
        <v>537</v>
      </c>
      <c r="F8" s="27">
        <v>61</v>
      </c>
      <c r="G8" s="10">
        <f>IFERROR(MATCH(F8,$C$8:$C$13,1),0)</f>
        <v>1</v>
      </c>
      <c r="H8" s="10">
        <f>F8-IF(G8=0,0,INDEX($C$8:$C$13,G8))</f>
        <v>11</v>
      </c>
    </row>
    <row r="9" spans="1:8" ht="27" x14ac:dyDescent="0.3">
      <c r="A9" s="10">
        <v>2</v>
      </c>
      <c r="B9" s="10">
        <f t="shared" si="0"/>
        <v>50</v>
      </c>
      <c r="C9" s="10">
        <f>C8+B9</f>
        <v>100</v>
      </c>
      <c r="D9" s="10"/>
      <c r="E9" s="10" t="s">
        <v>538</v>
      </c>
      <c r="F9" s="10">
        <f>H8+68</f>
        <v>79</v>
      </c>
      <c r="G9" s="10">
        <f>IFERROR(MATCH(F9,$C$8:$C$13,1),0)</f>
        <v>1</v>
      </c>
      <c r="H9" s="10">
        <f>F9-IF(G9=0,0,INDEX($C$8:$C$13,G9))</f>
        <v>29</v>
      </c>
    </row>
    <row r="10" spans="1:8" x14ac:dyDescent="0.3">
      <c r="A10" s="10">
        <v>3</v>
      </c>
      <c r="B10" s="10">
        <f t="shared" si="0"/>
        <v>50</v>
      </c>
      <c r="C10" s="10">
        <f>C9+B10</f>
        <v>150</v>
      </c>
    </row>
    <row r="11" spans="1:8" x14ac:dyDescent="0.3">
      <c r="A11" s="10">
        <v>4</v>
      </c>
      <c r="B11" s="10">
        <f t="shared" si="0"/>
        <v>50</v>
      </c>
      <c r="C11" s="10">
        <f>C10+B11</f>
        <v>200</v>
      </c>
    </row>
    <row r="12" spans="1:8" x14ac:dyDescent="0.3">
      <c r="A12" s="10">
        <v>5</v>
      </c>
      <c r="B12" s="10">
        <f t="shared" si="0"/>
        <v>50</v>
      </c>
      <c r="C12" s="10">
        <f>C11+B12</f>
        <v>250</v>
      </c>
    </row>
    <row r="13" spans="1:8" x14ac:dyDescent="0.3">
      <c r="A13" s="10">
        <v>6</v>
      </c>
      <c r="B13" s="10">
        <f t="shared" si="0"/>
        <v>50</v>
      </c>
      <c r="C13" s="10">
        <f>C12+B13</f>
        <v>300</v>
      </c>
    </row>
    <row r="16" spans="1:8" x14ac:dyDescent="0.3">
      <c r="A16" s="13" t="s">
        <v>539</v>
      </c>
    </row>
    <row r="17" spans="1:8" x14ac:dyDescent="0.3">
      <c r="A17" s="3" t="s">
        <v>540</v>
      </c>
      <c r="B17" s="38" t="s">
        <v>541</v>
      </c>
      <c r="C17" s="37"/>
      <c r="D17" s="37"/>
      <c r="E17" s="37"/>
      <c r="F17" s="37"/>
      <c r="G17" s="37"/>
      <c r="H17" s="37"/>
    </row>
    <row r="18" spans="1:8" x14ac:dyDescent="0.3">
      <c r="A18" s="3" t="s">
        <v>542</v>
      </c>
      <c r="B18" s="38" t="s">
        <v>543</v>
      </c>
      <c r="C18" s="37"/>
      <c r="D18" s="37"/>
      <c r="E18" s="37"/>
      <c r="F18" s="37"/>
      <c r="G18" s="37"/>
      <c r="H18" s="37"/>
    </row>
    <row r="19" spans="1:8" x14ac:dyDescent="0.3">
      <c r="A19" s="3" t="s">
        <v>544</v>
      </c>
      <c r="B19" s="38" t="s">
        <v>545</v>
      </c>
      <c r="C19" s="37"/>
      <c r="D19" s="37"/>
      <c r="E19" s="37"/>
      <c r="F19" s="37"/>
      <c r="G19" s="37"/>
      <c r="H19" s="37"/>
    </row>
    <row r="20" spans="1:8" x14ac:dyDescent="0.3">
      <c r="A20" s="3" t="s">
        <v>546</v>
      </c>
      <c r="B20" s="38" t="s">
        <v>547</v>
      </c>
      <c r="C20" s="37"/>
      <c r="D20" s="37"/>
      <c r="E20" s="37"/>
      <c r="F20" s="37"/>
      <c r="G20" s="37"/>
      <c r="H20" s="37"/>
    </row>
    <row r="21" spans="1:8" x14ac:dyDescent="0.3">
      <c r="A21" s="3" t="s">
        <v>548</v>
      </c>
      <c r="B21" s="38" t="s">
        <v>549</v>
      </c>
      <c r="C21" s="37"/>
      <c r="D21" s="37"/>
      <c r="E21" s="37"/>
      <c r="F21" s="37"/>
      <c r="G21" s="37"/>
      <c r="H21" s="37"/>
    </row>
    <row r="22" spans="1:8" x14ac:dyDescent="0.3">
      <c r="A22" s="3" t="s">
        <v>550</v>
      </c>
      <c r="B22" s="38" t="s">
        <v>551</v>
      </c>
      <c r="C22" s="37"/>
      <c r="D22" s="37"/>
      <c r="E22" s="37"/>
      <c r="F22" s="37"/>
      <c r="G22" s="37"/>
      <c r="H22" s="37"/>
    </row>
  </sheetData>
  <mergeCells count="6">
    <mergeCell ref="B22:H22"/>
    <mergeCell ref="B17:H17"/>
    <mergeCell ref="B18:H18"/>
    <mergeCell ref="B21:H21"/>
    <mergeCell ref="B19:H19"/>
    <mergeCell ref="B20:H20"/>
  </mergeCells>
  <phoneticPr fontId="7" type="noConversion"/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"/>
  <sheetViews>
    <sheetView workbookViewId="0"/>
  </sheetViews>
  <sheetFormatPr defaultRowHeight="16.5" x14ac:dyDescent="0.3"/>
  <cols>
    <col min="1" max="1" width="6" customWidth="1"/>
    <col min="2" max="2" width="16" customWidth="1"/>
    <col min="3" max="3" width="12" customWidth="1"/>
    <col min="4" max="4" width="24" customWidth="1"/>
    <col min="5" max="5" width="40" customWidth="1"/>
    <col min="6" max="6" width="30" customWidth="1"/>
  </cols>
  <sheetData>
    <row r="1" spans="1:6" ht="20.25" x14ac:dyDescent="0.35">
      <c r="A1" s="1" t="s">
        <v>552</v>
      </c>
    </row>
    <row r="3" spans="1:6" x14ac:dyDescent="0.3">
      <c r="A3" s="5" t="s">
        <v>553</v>
      </c>
      <c r="B3" s="5" t="s">
        <v>554</v>
      </c>
      <c r="C3" s="5" t="s">
        <v>78</v>
      </c>
      <c r="D3" s="5" t="s">
        <v>555</v>
      </c>
      <c r="E3" s="5" t="s">
        <v>556</v>
      </c>
      <c r="F3" s="5" t="s">
        <v>557</v>
      </c>
    </row>
    <row r="4" spans="1:6" x14ac:dyDescent="0.3">
      <c r="A4" s="3">
        <v>1</v>
      </c>
      <c r="B4" s="3" t="s">
        <v>513</v>
      </c>
      <c r="C4" s="3" t="s">
        <v>558</v>
      </c>
      <c r="D4" s="3" t="s">
        <v>559</v>
      </c>
      <c r="E4" s="3" t="s">
        <v>560</v>
      </c>
      <c r="F4" s="3" t="s">
        <v>433</v>
      </c>
    </row>
    <row r="5" spans="1:6" x14ac:dyDescent="0.3">
      <c r="A5" s="3">
        <v>2</v>
      </c>
      <c r="B5" s="3" t="s">
        <v>561</v>
      </c>
      <c r="C5" s="3" t="s">
        <v>562</v>
      </c>
      <c r="D5" s="3" t="s">
        <v>563</v>
      </c>
      <c r="E5" s="3" t="s">
        <v>564</v>
      </c>
      <c r="F5" s="3" t="s">
        <v>89</v>
      </c>
    </row>
    <row r="6" spans="1:6" x14ac:dyDescent="0.3">
      <c r="A6" s="3">
        <v>3</v>
      </c>
      <c r="B6" s="3" t="s">
        <v>565</v>
      </c>
      <c r="C6" s="3" t="s">
        <v>566</v>
      </c>
      <c r="D6" s="3" t="s">
        <v>567</v>
      </c>
      <c r="E6" s="3" t="s">
        <v>568</v>
      </c>
      <c r="F6" s="3" t="s">
        <v>99</v>
      </c>
    </row>
    <row r="7" spans="1:6" x14ac:dyDescent="0.3">
      <c r="A7" s="3">
        <v>4</v>
      </c>
      <c r="B7" s="3" t="s">
        <v>569</v>
      </c>
      <c r="C7" s="3" t="s">
        <v>570</v>
      </c>
      <c r="D7" s="3" t="s">
        <v>159</v>
      </c>
      <c r="E7" s="3" t="s">
        <v>571</v>
      </c>
      <c r="F7" s="3" t="s">
        <v>572</v>
      </c>
    </row>
    <row r="8" spans="1:6" x14ac:dyDescent="0.3">
      <c r="A8" s="3">
        <v>5</v>
      </c>
      <c r="B8" s="3" t="s">
        <v>573</v>
      </c>
      <c r="C8" s="3" t="s">
        <v>574</v>
      </c>
      <c r="D8" s="3" t="s">
        <v>575</v>
      </c>
      <c r="E8" s="3" t="s">
        <v>576</v>
      </c>
      <c r="F8" s="3" t="s">
        <v>577</v>
      </c>
    </row>
    <row r="9" spans="1:6" x14ac:dyDescent="0.3">
      <c r="A9" s="3">
        <v>6</v>
      </c>
      <c r="B9" s="3" t="s">
        <v>210</v>
      </c>
      <c r="C9" s="3" t="s">
        <v>578</v>
      </c>
      <c r="D9" s="3" t="s">
        <v>210</v>
      </c>
      <c r="E9" s="3" t="s">
        <v>579</v>
      </c>
      <c r="F9" s="3" t="s">
        <v>580</v>
      </c>
    </row>
    <row r="10" spans="1:6" x14ac:dyDescent="0.3">
      <c r="A10" s="3">
        <v>7</v>
      </c>
      <c r="B10" s="3" t="s">
        <v>581</v>
      </c>
      <c r="C10" s="3" t="s">
        <v>582</v>
      </c>
      <c r="D10" s="3" t="s">
        <v>583</v>
      </c>
      <c r="E10" s="3" t="s">
        <v>584</v>
      </c>
      <c r="F10" s="3" t="s">
        <v>244</v>
      </c>
    </row>
    <row r="11" spans="1:6" x14ac:dyDescent="0.3">
      <c r="A11" s="3">
        <v>8</v>
      </c>
      <c r="B11" s="3" t="s">
        <v>36</v>
      </c>
      <c r="C11" s="3" t="s">
        <v>585</v>
      </c>
      <c r="D11" s="3" t="s">
        <v>254</v>
      </c>
      <c r="E11" s="3" t="s">
        <v>576</v>
      </c>
      <c r="F11" s="3" t="s">
        <v>249</v>
      </c>
    </row>
    <row r="12" spans="1:6" x14ac:dyDescent="0.3">
      <c r="A12" s="3">
        <v>9</v>
      </c>
      <c r="B12" s="3" t="s">
        <v>586</v>
      </c>
      <c r="C12" s="3" t="s">
        <v>587</v>
      </c>
      <c r="D12" s="3" t="s">
        <v>588</v>
      </c>
      <c r="E12" s="3" t="s">
        <v>589</v>
      </c>
      <c r="F12" s="3" t="s">
        <v>590</v>
      </c>
    </row>
    <row r="13" spans="1:6" x14ac:dyDescent="0.3">
      <c r="A13" s="3">
        <v>10</v>
      </c>
      <c r="B13" s="3" t="s">
        <v>37</v>
      </c>
      <c r="C13" s="3" t="s">
        <v>591</v>
      </c>
      <c r="D13" s="3" t="s">
        <v>592</v>
      </c>
      <c r="E13" s="3" t="s">
        <v>593</v>
      </c>
      <c r="F13" s="3" t="s">
        <v>594</v>
      </c>
    </row>
    <row r="14" spans="1:6" x14ac:dyDescent="0.3">
      <c r="A14" s="3">
        <v>11</v>
      </c>
      <c r="B14" s="3" t="s">
        <v>38</v>
      </c>
      <c r="C14" s="3" t="s">
        <v>595</v>
      </c>
      <c r="D14" s="3" t="s">
        <v>596</v>
      </c>
      <c r="E14" s="3" t="s">
        <v>597</v>
      </c>
      <c r="F14" s="3" t="s">
        <v>598</v>
      </c>
    </row>
    <row r="15" spans="1:6" ht="27" x14ac:dyDescent="0.3">
      <c r="A15" s="3">
        <v>12</v>
      </c>
      <c r="B15" s="3" t="s">
        <v>599</v>
      </c>
      <c r="C15" s="3" t="s">
        <v>600</v>
      </c>
      <c r="D15" s="3" t="s">
        <v>601</v>
      </c>
      <c r="E15" s="3" t="s">
        <v>602</v>
      </c>
      <c r="F15" s="3" t="s">
        <v>603</v>
      </c>
    </row>
    <row r="18" spans="1:1" x14ac:dyDescent="0.3">
      <c r="A18" s="12" t="s">
        <v>604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개요</vt:lpstr>
      <vt:lpstr>요약</vt:lpstr>
      <vt:lpstr>등급</vt:lpstr>
      <vt:lpstr>카드 목록</vt:lpstr>
      <vt:lpstr>중첩 규칙</vt:lpstr>
      <vt:lpstr>필살기</vt:lpstr>
      <vt:lpstr>경험치</vt:lpstr>
      <vt:lpstr>상점</vt:lpstr>
      <vt:lpstr>캐릭터 패널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종민 백</cp:lastModifiedBy>
  <dcterms:created xsi:type="dcterms:W3CDTF">2026-10-23T18:11:42Z</dcterms:created>
  <dcterms:modified xsi:type="dcterms:W3CDTF">2026-10-23T18:11:50Z</dcterms:modified>
</cp:coreProperties>
</file>