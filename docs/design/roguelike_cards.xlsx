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등급" sheetId="3" state="visible" r:id="rId3"/>
    <sheet xmlns:r="http://schemas.openxmlformats.org/officeDocument/2006/relationships" name="카드 목록" sheetId="4" state="visible" r:id="rId4"/>
    <sheet xmlns:r="http://schemas.openxmlformats.org/officeDocument/2006/relationships" name="중첩 규칙" sheetId="5" state="visible" r:id="rId5"/>
    <sheet xmlns:r="http://schemas.openxmlformats.org/officeDocument/2006/relationships" name="필살기" sheetId="6" state="visible" r:id="rId6"/>
    <sheet xmlns:r="http://schemas.openxmlformats.org/officeDocument/2006/relationships" name="경험치" sheetId="7" state="visible" r:id="rId7"/>
    <sheet xmlns:r="http://schemas.openxmlformats.org/officeDocument/2006/relationships" name="상점" sheetId="8" state="visible" r:id="rId8"/>
    <sheet xmlns:r="http://schemas.openxmlformats.org/officeDocument/2006/relationships" name="캐릭터 패널" sheetId="9" state="visible" r:id="rId9"/>
    <sheet xmlns:r="http://schemas.openxmlformats.org/officeDocument/2006/relationships" name="스테이지 구성" sheetId="10" state="visible" r:id="rId10"/>
    <sheet xmlns:r="http://schemas.openxmlformats.org/officeDocument/2006/relationships" name="보스 패턴" sheetId="11" state="visible" r:id="rId11"/>
  </sheets>
  <definedNames>
    <definedName name="_xlnm._FilterDatabase" localSheetId="3" hidden="1">'카드 목록'!$A$1:$N$61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%;\-0%;0%"/>
  </numFmts>
  <fonts count="8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2C1A52"/>
      <sz val="14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color rgb="FF0000FF"/>
      <sz val="10"/>
    </font>
    <font>
      <name val="맑은 고딕"/>
      <charset val="129"/>
      <family val="3"/>
      <b val="1"/>
      <color rgb="FF1A1030"/>
      <sz val="11"/>
    </font>
    <font>
      <name val="맑은 고딕"/>
      <charset val="129"/>
      <family val="3"/>
      <sz val="8"/>
      <scheme val="minor"/>
    </font>
  </fonts>
  <fills count="12">
    <fill>
      <patternFill/>
    </fill>
    <fill>
      <patternFill patternType="gray125"/>
    </fill>
    <fill>
      <patternFill patternType="solid">
        <fgColor rgb="FFFFF4B3"/>
      </patternFill>
    </fill>
    <fill>
      <patternFill patternType="solid">
        <fgColor rgb="FF2C1A52"/>
      </patternFill>
    </fill>
    <fill>
      <patternFill patternType="solid">
        <fgColor rgb="FF9AA0B5"/>
      </patternFill>
    </fill>
    <fill>
      <patternFill patternType="solid">
        <fgColor rgb="FF4FA3FF"/>
      </patternFill>
    </fill>
    <fill>
      <patternFill patternType="solid">
        <fgColor rgb="FFE05CFF"/>
      </patternFill>
    </fill>
    <fill>
      <patternFill patternType="solid">
        <fgColor rgb="FFFFC93C"/>
      </patternFill>
    </fill>
    <fill>
      <patternFill patternType="solid">
        <fgColor rgb="FFE3F2E1"/>
      </patternFill>
    </fill>
    <fill>
      <patternFill patternType="solid">
        <fgColor rgb="FFF3E1FF"/>
      </patternFill>
    </fill>
    <fill>
      <patternFill patternType="solid">
        <fgColor rgb="FFFFE6F4"/>
      </patternFill>
    </fill>
    <fill>
      <patternFill patternType="solid">
        <fgColor rgb="FFEDEDED"/>
      </patternFill>
    </fill>
  </fills>
  <borders count="6">
    <border>
      <left/>
      <right/>
      <top/>
      <bottom/>
      <diagonal/>
    </border>
    <border>
      <left style="thin">
        <color rgb="FFC9C9D6"/>
      </left>
      <right style="thin">
        <color rgb="FFC9C9D6"/>
      </right>
      <top style="thin">
        <color rgb="FFC9C9D6"/>
      </top>
      <bottom style="thin">
        <color rgb="FFC9C9D6"/>
      </bottom>
      <diagonal/>
    </border>
    <border>
      <left/>
      <right/>
      <top style="thin">
        <color rgb="FFC9C9D6"/>
      </top>
      <bottom/>
      <diagonal/>
    </border>
    <border>
      <left/>
      <right style="thin">
        <color rgb="FFC9C9D6"/>
      </right>
      <top style="thin">
        <color rgb="FFC9C9D6"/>
      </top>
      <bottom/>
      <diagonal/>
    </border>
    <border>
      <left/>
      <right/>
      <top style="thin">
        <color rgb="FFC9C9D6"/>
      </top>
      <bottom style="thin">
        <color rgb="FFC9C9D6"/>
      </bottom>
      <diagonal/>
    </border>
    <border>
      <left/>
      <right style="thin">
        <color rgb="FFC9C9D6"/>
      </right>
      <top style="thin">
        <color rgb="FFC9C9D6"/>
      </top>
      <bottom style="thin">
        <color rgb="FFC9C9D6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0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3" fillId="10" borderId="0" pivotButton="0" quotePrefix="0" xfId="0"/>
    <xf numFmtId="0" fontId="3" fillId="11" borderId="0" pivotButton="0" quotePrefix="0" xfId="0"/>
    <xf numFmtId="0" fontId="3" fillId="4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3" fillId="0" borderId="1" pivotButton="0" quotePrefix="0" xfId="0"/>
    <xf numFmtId="0" fontId="5" fillId="2" borderId="1" pivotButton="0" quotePrefix="0" xfId="0"/>
    <xf numFmtId="9" fontId="5" fillId="2" borderId="1" pivotButton="0" quotePrefix="0" xfId="0"/>
    <xf numFmtId="1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0" fillId="0" borderId="0" pivotButton="0" quotePrefix="0" xfId="0"/>
    <xf numFmtId="0" fontId="3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 wrapText="1"/>
    </xf>
  </cellXfs>
  <cellStyles count="1">
    <cellStyle name="표준" xfId="0" builtinId="0"/>
  </cellStyles>
  <dxfs count="8">
    <dxf>
      <fill>
        <patternFill patternType="solid">
          <fgColor rgb="FFEDEDED"/>
          <bgColor rgb="FFEDEDED"/>
        </patternFill>
      </fill>
    </dxf>
    <dxf>
      <fill>
        <patternFill patternType="solid">
          <fgColor rgb="FFFFE6F4"/>
          <bgColor rgb="FFFFE6F4"/>
        </patternFill>
      </fill>
    </dxf>
    <dxf>
      <fill>
        <patternFill patternType="solid">
          <fgColor rgb="FFF3E1FF"/>
          <bgColor rgb="FFF3E1FF"/>
        </patternFill>
      </fill>
    </dxf>
    <dxf>
      <fill>
        <patternFill patternType="solid">
          <fgColor rgb="FFE3F2E1"/>
          <bgColor rgb="FFE3F2E1"/>
        </patternFill>
      </fill>
    </dxf>
    <dxf>
      <font>
        <b val="1"/>
        <color rgb="FF1A1030"/>
      </font>
      <fill>
        <patternFill patternType="solid">
          <fgColor rgb="FFFFC93C"/>
          <bgColor rgb="FFFFC93C"/>
        </patternFill>
      </fill>
    </dxf>
    <dxf>
      <font>
        <b val="1"/>
        <color rgb="FF1A1030"/>
      </font>
      <fill>
        <patternFill patternType="solid">
          <fgColor rgb="FFE05CFF"/>
          <bgColor rgb="FFE05CFF"/>
        </patternFill>
      </fill>
    </dxf>
    <dxf>
      <font>
        <b val="1"/>
        <color rgb="FF1A1030"/>
      </font>
      <fill>
        <patternFill patternType="solid">
          <fgColor rgb="FF4FA3FF"/>
          <bgColor rgb="FF4FA3FF"/>
        </patternFill>
      </fill>
    </dxf>
    <dxf>
      <font>
        <b val="1"/>
        <color rgb="FF1A1030"/>
      </font>
      <fill>
        <patternFill patternType="solid">
          <fgColor rgb="FF9AA0B5"/>
          <bgColor rgb="FF9AA0B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기획</author>
  </authors>
  <commentList>
    <comment ref="F1" authorId="0" shapeId="0">
      <text>
        <t>능력치 = 같은 카드가 최대 중첩까지 다시 나온다 / 특수 = 한 번 얻으면 다시 안 나온다 / 특수(중첩) = 특수 능력이지만 단계가 쌓인다 (투사체 수, 대시 칸 등) / 소모 = 즉시 효과, 몇 번이든 나온다. 서로 다른 특수 능력은 전부 함께 적용된다 ('중첩 규칙' 시트).</t>
      </text>
    </comment>
    <comment ref="I1" authorId="0" shapeId="0">
      <text>
        <t>99 = 제한 없음(소모형 카드). 특수 카드는 1. 파란 글씨는 조정 가능한 임시값.</t>
      </text>
    </comment>
    <comment ref="L1" authorId="0" shapeId="0">
      <text>
        <t>사용자 = 직접 제안한 아이디어(굵게 표시), 기존 상점 = 지금 상점 업그레이드를 카드로 옮긴 것, 기획 추가 = 기본으로 채운 카드</t>
      </text>
    </comment>
  </commentList>
</comments>
</file>

<file path=xl/comments/comment2.xml><?xml version="1.0" encoding="utf-8"?>
<comments xmlns="http://schemas.openxmlformats.org/spreadsheetml/2006/main">
  <authors>
    <author>기획</author>
  </authors>
  <commentList>
    <comment ref="F8" authorId="0" shapeId="0">
      <text>
        <t>스테이지 1 코인: 아치 4x5 + 발판 6x4 + 바닥 17 = 61 (콤보 보너스 제외)</t>
      </text>
    </comment>
    <comment ref="F9" authorId="0" shapeId="0">
      <text>
        <t>스테이지 2 코인: 아치 6x5 + 발판 7x4 + 바닥 10 = 68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tabSelected="1" workbookViewId="0">
      <selection activeCell="A1" sqref="A1"/>
    </sheetView>
  </sheetViews>
  <sheetFormatPr baseColWidth="8" defaultRowHeight="16.5"/>
  <cols>
    <col width="22" customWidth="1" style="37" min="1" max="1"/>
    <col width="100" customWidth="1" style="37" min="2" max="2"/>
  </cols>
  <sheetData>
    <row r="1" ht="20.25" customHeight="1" s="37">
      <c r="A1" s="1" t="inlineStr">
        <is>
          <t>로그라이크 카드 시스템 기획 (초안)</t>
        </is>
      </c>
    </row>
    <row r="3" ht="27" customHeight="1" s="37">
      <c r="A3" s="2" t="inlineStr">
        <is>
          <t>목표</t>
        </is>
      </c>
      <c r="B3" s="38" t="inlineStr">
        <is>
          <t>적을 처치해 경험치를 모으고, 레벨업할 때마다 카드 3장 중 1장을 골라 그 판의 빌드를 만든다. 기존 상점의 '능력치 직접 구매'는 '카드 뽑기 기회 구매'로 바꾼다.</t>
        </is>
      </c>
    </row>
    <row r="4" ht="27" customHeight="1" s="37">
      <c r="A4" s="2" t="inlineStr">
        <is>
          <t>경험치 바</t>
        </is>
      </c>
      <c r="B4" s="38" t="inlineStr">
        <is>
          <t>HUD 상단(하트 줄 아래)에 얇은 경험치 바 + 'LV 3'. 적 처치 시 경험치 획득 (적별 수치는 '경험치' 시트). 레벨은 한 판 동안 유지, 사망 후 재도전 시 스테이지 시작 시점으로 되돌린다(코인과 같은 규칙).</t>
        </is>
      </c>
    </row>
    <row r="5" ht="27" customHeight="1" s="37">
      <c r="A5" s="2" t="inlineStr">
        <is>
          <t>레벨업 화면</t>
        </is>
      </c>
      <c r="B5" s="38" t="inlineStr">
        <is>
          <t>레벨업 순간 게임을 멈추고 카드 3장을 펼친다. ←→로 고르고 Z/Enter로 확정. 카드 = 등급 테두리 + 아이콘(도트) + 이름(영문 픽셀 폰트) + 효과 한 줄 + 현재 단계 칸(Lv 1/3). 한 프레임에 여러 레벨이 오르면 화면을 연달아 띄운다.</t>
        </is>
      </c>
    </row>
    <row r="6" ht="40.5" customHeight="1" s="37">
      <c r="A6" s="2" t="inlineStr">
        <is>
          <t>카드 제시 규칙</t>
        </is>
      </c>
      <c r="B6" s="38" t="inlineStr">
        <is>
          <t>① 3장 서로 다른 카드 ② 이미 가진 특수 카드, 최대 중첩에 도달한 능력치·특수(중첩) 카드, 선행 조건을 못 채운 카드, 이미 가진 필살기보다 낮은 등급의 필살기 카드는 제외 ③ 같은 분류는 최대 2장 ④ 등급은 '등급' 시트 확률로 먼저 뽑고, 그 등급 안에서 카드를 고른다 ⑤ 해당 등급에 남은 카드가 없으면 한 단계 아래 등급으로.</t>
        </is>
      </c>
    </row>
    <row r="7" ht="27" customHeight="1" s="37">
      <c r="A7" s="2" t="inlineStr">
        <is>
          <t>등급</t>
        </is>
      </c>
      <c r="B7" s="38" t="inlineStr">
        <is>
          <t>일반 / 희귀 / 영웅 / 전설 4단계. 등급마다 카드 테두리 색과 연출이 다르다. 전설 확률은 스테이지 1/2/3에서 6% / 8% / 10%. ('등급' 시트)</t>
        </is>
      </c>
    </row>
    <row r="8" ht="27" customHeight="1" s="37">
      <c r="A8" s="2" t="inlineStr">
        <is>
          <t>카드 중복</t>
        </is>
      </c>
      <c r="B8" s="38" t="inlineStr">
        <is>
          <t>능력치 카드는 최대 단계까지 다시 나온다. 특수 능력 카드는 한 번만 얻는다 (단, 투사체 수·대시 칸처럼 개수로 쌓이는 특수 능력은 예외). 서로 다른 특수 능력은 모두 함께 적용된다. ('중첩 규칙' 시트)</t>
        </is>
      </c>
    </row>
    <row r="9" ht="27" customHeight="1" s="37">
      <c r="A9" s="2" t="inlineStr">
        <is>
          <t>상점</t>
        </is>
      </c>
      <c r="B9" s="38" t="inlineStr">
        <is>
          <t>스테이지 클리어 후 상점은 '카드 뽑기 기회' 구매 화면이 된다. 가격은 1회 50코인 고정 (확정). 상점에서 뽑는 카드는 희귀 이상 1장 보장. ('상점' 시트)</t>
        </is>
      </c>
    </row>
    <row r="10" ht="27" customHeight="1" s="37">
      <c r="A10" s="2" t="inlineStr">
        <is>
          <t>캐릭터 패널</t>
        </is>
      </c>
      <c r="B10" s="38" t="inlineStr">
        <is>
          <t>상점 화면 왼쪽(또는 일시정지 화면)에 현재 능력치를 아이콘 + 숫자로, 얻은 특수 카드를 16x16 아이콘 격자로 보여 준다. ('캐릭터 패널' 시트)</t>
        </is>
      </c>
    </row>
    <row r="11" ht="27" customHeight="1" s="37">
      <c r="A11" s="2" t="inlineStr">
        <is>
          <t>기존 동작 변경 (확정)</t>
        </is>
      </c>
      <c r="B11" s="38" t="inlineStr">
        <is>
          <t>현재 대시는 기본으로 무적이다(Player.cpp: 대시 중 피격 무시). 기획상 기본 대시는 무적이 아니고, '무적 대시' 카드(영웅)로 얻는다. 대신 기본 대시에 '대시 칸' 1개를 HUD에 표시하고, 칸이 차면 다시 쓸 수 있게 한다.</t>
        </is>
      </c>
    </row>
    <row r="12">
      <c r="A12" s="2" t="inlineStr">
        <is>
          <t>게임 내 표기</t>
        </is>
      </c>
      <c r="B12" s="38" t="inlineStr">
        <is>
          <t>픽셀 폰트가 영문 대문자/숫자만 지원하므로 카드 이름과 효과 문구는 '게임 표기' 열의 영문을 쓴다. 한글 이름은 기획용.</t>
        </is>
      </c>
    </row>
    <row r="13" ht="27" customHeight="1" s="37">
      <c r="A13" s="2" t="inlineStr">
        <is>
          <t>파일 보는 법</t>
        </is>
      </c>
      <c r="B13" s="38" t="inlineStr">
        <is>
          <t>'카드 목록'이 본 표다. 등급/분류 열은 목록에서 고르고, 필터로 등급별·분류별로 볼 수 있다. 파란 글씨 = 조정할 수 있는 입력값, 노란 칸 = 결정이 필요한 값. '요약' 시트는 카드 수를 자동으로 센다.</t>
        </is>
      </c>
    </row>
    <row r="14" ht="27" customHeight="1" s="37">
      <c r="A14" s="2" t="inlineStr">
        <is>
          <t>보스전 (확정)</t>
        </is>
      </c>
      <c r="B14" s="38" t="inlineStr">
        <is>
          <t>보스전에서는 경험치·레벨업 화면이 없다. 대신 보스 체력이 66%, 33% 아래로 내려갈 때(패턴 단계가 바뀔 때) 카드 1장씩, 총 2장을 고른다. 단계 전환 연출 중에 띄워서 전투 템포를 끊지 않는다. 확률은 스테이지 3 열을 쓴다.</t>
        </is>
      </c>
    </row>
    <row r="15">
      <c r="A15" s="2" t="inlineStr">
        <is>
          <t>열린 질문</t>
        </is>
      </c>
      <c r="B15" s="4" t="inlineStr">
        <is>
          <t>사망 후 재도전 시 그 스테이지에서 얻은 카드도 되돌릴지 — 제안: 되돌림 (코인과 같은 규칙)</t>
        </is>
      </c>
    </row>
    <row r="16" ht="46" customHeight="1" s="37">
      <c r="A16" s="2" t="inlineStr">
        <is>
          <t>능력치 창 (0.4.0)</t>
        </is>
      </c>
      <c r="B16" s="4" t="inlineStr">
        <is>
          <t>플레이 중 Tab 을 누르면 게임이 멈추고 능력치 창이 열린다. 왼쪽은 캐릭터 패널, 오른쪽은 얻은 카드 격자(능력치 카드 포함). 카드에 마우스를 올리거나 방향키로 고르면 아래에 등급·분류·단계와 수치가 들어간 자세한 설명이 나온다. Tab 이나 Esc 로 닫는다.</t>
        </is>
      </c>
    </row>
    <row r="17" ht="46" customHeight="1" s="37">
      <c r="A17" s="2" t="inlineStr">
        <is>
          <t>스테이지 1·2 개편 (0.4.0)</t>
        </is>
      </c>
      <c r="B17" s="4" t="inlineStr">
        <is>
          <t>매복 결투장, 점프 버섯, 정예 적, 보물상자를 넣어 단조롭던 구간을 나눈다. 자세한 배치는 '스테이지 구성' 시트.</t>
        </is>
      </c>
    </row>
    <row r="18" ht="46" customHeight="1" s="37">
      <c r="A18" s="2" t="inlineStr">
        <is>
          <t>0.4.1 변경</t>
        </is>
      </c>
      <c r="B18" s="4" t="inlineStr">
        <is>
          <t>섀도우볼이 공격력 단계마다 바로 커지게 (그림 크기 = 반지름 x 2.3). 보스 체력 900. 보스 소환 박쥐는 플레이어를 향해 천천히 날아온다. 새 적 그림자 두꺼비, 정예 특별 스킬, 결투장 제한 시간·증원·붉은 경고 ('스테이지 구성' 시트)</t>
        </is>
      </c>
    </row>
    <row r="19" ht="60" customHeight="1" s="37">
      <c r="A19" s="2" t="inlineStr">
        <is>
          <t>0.4.2 변경</t>
        </is>
      </c>
      <c r="B19" s="4" t="inlineStr">
        <is>
          <t>피해를 10 단위로 (플레이어 기본 10, 공격력 +3/단계, 적 체력: 슬라임·마법사·두꺼비 20, 늑대 30, 박쥐 10, 스테이지마다 +10, 보스 3000). 새 카드 10종(혈사포, 레이저, 부메랑, 웨이브, 산탄, 무거운 공, 독, 냉기, 연쇄 번개, 그림자 궤도)과 등급 조정(유도·차지샷 전설-&gt;영웅, 튕김·저주 영웅-&gt;희귀). 카드로 겉모습이 바뀜(혈사포 뿔, 공중 점프 날개, 궤도 구슬). 분신은 내 사격과 같은 발 수, 차지샷도 멀티샷 수만큼, 두꺼비는 절벽을 피함.</t>
        </is>
      </c>
    </row>
    <row r="20" ht="46" customHeight="1" s="37">
      <c r="A20" s="2" t="inlineStr">
        <is>
          <t>0.4.3 변경</t>
        </is>
      </c>
      <c r="B20" s="4" t="inlineStr">
        <is>
          <t>기본 필살기 너프(35+3/단계, 보스 120). 보스 외 적 체력 +6 (슬라임·마법사·두꺼비 26, 늑대 36, 박쥐 16, 작은 슬라임 16). 대시 칸 카드가 공중 대시 횟수도 늘림. 분신 최대 3마리(한 줄로 따라옴). 상점 뽑기 가격 +25씩, 카드 강화 칸 추가. 영웅·전설 확률 크게 낮춤.</t>
        </is>
      </c>
    </row>
    <row r="21">
      <c r="A21" s="2" t="inlineStr">
        <is>
          <t>0.4.4 변경</t>
        </is>
      </c>
      <c r="B21" s="4" t="inlineStr">
        <is>
          <t>전설 확률 3 / 5 / 8% (일반을 그만큼 낮춤). 상점 뽑기 가격은 100코인에서 더 오르지 않음.</t>
        </is>
      </c>
    </row>
    <row r="22">
      <c r="A22" s="2" t="inlineStr">
        <is>
          <t>0.4.5 변경</t>
        </is>
      </c>
      <c r="B22" s="4" t="inlineStr">
        <is>
          <t>웨이브 공이 바닥에 바로 닿아 사라지던 문제 수정. 등급 확률을 스테이지 1 일반 50% 기준으로 재조정. 상점 강화 화면을 목록형으로 다시 만듦.</t>
        </is>
      </c>
    </row>
    <row r="23">
      <c r="A23" s="2" t="inlineStr">
        <is>
          <t>0.4.6 변경</t>
        </is>
      </c>
      <c r="B23" s="4" t="inlineStr">
        <is>
          <t>그림자 분신은 0.8초마다 플레이어와 같은 공격을 쏜다(내 사격을 따라 하지 않음). 상점 뽑기 가격은 상한 없이 그 판에서 뽑을 때마다 +25, 다음 상점에도 이어진다.</t>
        </is>
      </c>
    </row>
    <row r="24">
      <c r="A24" s="2" t="inlineStr">
        <is>
          <t>0.4.7 변경</t>
        </is>
      </c>
      <c r="B24" s="4" t="inlineStr">
        <is>
          <t>사거리 계산을 한 곳으로(산탄 55%는 판 내내 유지, 능력치 패널 RANGE 가 실제 값). AIR JUMP 를 DOUBLE JUMP 로 이름 변경. 전설 이동 카드 그림자 날개(비행) 추가.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6.5"/>
  <cols>
    <col width="14" customWidth="1" style="37" min="1" max="1"/>
    <col width="9" customWidth="1" style="37" min="2" max="6"/>
  </cols>
  <sheetData>
    <row r="1" ht="20.25" customHeight="1" s="37">
      <c r="A1" s="1" t="inlineStr">
        <is>
          <t>카드 수 요약 (카드 목록에서 자동 계산)</t>
        </is>
      </c>
    </row>
    <row r="3">
      <c r="A3" s="5" t="inlineStr">
        <is>
          <t>분류 \ 등급</t>
        </is>
      </c>
      <c r="B3" s="6" t="inlineStr">
        <is>
          <t>일반</t>
        </is>
      </c>
      <c r="C3" s="7" t="inlineStr">
        <is>
          <t>희귀</t>
        </is>
      </c>
      <c r="D3" s="8" t="inlineStr">
        <is>
          <t>영웅</t>
        </is>
      </c>
      <c r="E3" s="9" t="inlineStr">
        <is>
          <t>전설</t>
        </is>
      </c>
      <c r="F3" s="5" t="inlineStr">
        <is>
          <t>합계</t>
        </is>
      </c>
    </row>
    <row r="4">
      <c r="A4" s="10" t="inlineStr">
        <is>
          <t>공격</t>
        </is>
      </c>
      <c r="B4" s="10">
        <f>COUNTIFS('카드 목록'!$E:$E,$A4,'카드 목록'!$D:$D,"일반")</f>
        <v/>
      </c>
      <c r="C4" s="10">
        <f>COUNTIFS('카드 목록'!$E:$E,$A4,'카드 목록'!$D:$D,"희귀")</f>
        <v/>
      </c>
      <c r="D4" s="10">
        <f>COUNTIFS('카드 목록'!$E:$E,$A4,'카드 목록'!$D:$D,"영웅")</f>
        <v/>
      </c>
      <c r="E4" s="10">
        <f>COUNTIFS('카드 목록'!$E:$E,$A4,'카드 목록'!$D:$D,"전설")</f>
        <v/>
      </c>
      <c r="F4" s="10">
        <f>SUM(B4:E4)</f>
        <v/>
      </c>
    </row>
    <row r="5">
      <c r="A5" s="10" t="inlineStr">
        <is>
          <t>방어</t>
        </is>
      </c>
      <c r="B5" s="10">
        <f>COUNTIFS('카드 목록'!$E:$E,$A5,'카드 목록'!$D:$D,"일반")</f>
        <v/>
      </c>
      <c r="C5" s="10">
        <f>COUNTIFS('카드 목록'!$E:$E,$A5,'카드 목록'!$D:$D,"희귀")</f>
        <v/>
      </c>
      <c r="D5" s="10">
        <f>COUNTIFS('카드 목록'!$E:$E,$A5,'카드 목록'!$D:$D,"영웅")</f>
        <v/>
      </c>
      <c r="E5" s="10">
        <f>COUNTIFS('카드 목록'!$E:$E,$A5,'카드 목록'!$D:$D,"전설")</f>
        <v/>
      </c>
      <c r="F5" s="10">
        <f>SUM(B5:E5)</f>
        <v/>
      </c>
    </row>
    <row r="6">
      <c r="A6" s="10" t="inlineStr">
        <is>
          <t>이동</t>
        </is>
      </c>
      <c r="B6" s="10">
        <f>COUNTIFS('카드 목록'!$E:$E,$A6,'카드 목록'!$D:$D,"일반")</f>
        <v/>
      </c>
      <c r="C6" s="10">
        <f>COUNTIFS('카드 목록'!$E:$E,$A6,'카드 목록'!$D:$D,"희귀")</f>
        <v/>
      </c>
      <c r="D6" s="10">
        <f>COUNTIFS('카드 목록'!$E:$E,$A6,'카드 목록'!$D:$D,"영웅")</f>
        <v/>
      </c>
      <c r="E6" s="10">
        <f>COUNTIFS('카드 목록'!$E:$E,$A6,'카드 목록'!$D:$D,"전설")</f>
        <v/>
      </c>
      <c r="F6" s="10">
        <f>SUM(B6:E6)</f>
        <v/>
      </c>
    </row>
    <row r="7">
      <c r="A7" s="10" t="inlineStr">
        <is>
          <t>대시</t>
        </is>
      </c>
      <c r="B7" s="10">
        <f>COUNTIFS('카드 목록'!$E:$E,$A7,'카드 목록'!$D:$D,"일반")</f>
        <v/>
      </c>
      <c r="C7" s="10">
        <f>COUNTIFS('카드 목록'!$E:$E,$A7,'카드 목록'!$D:$D,"희귀")</f>
        <v/>
      </c>
      <c r="D7" s="10">
        <f>COUNTIFS('카드 목록'!$E:$E,$A7,'카드 목록'!$D:$D,"영웅")</f>
        <v/>
      </c>
      <c r="E7" s="10">
        <f>COUNTIFS('카드 목록'!$E:$E,$A7,'카드 목록'!$D:$D,"전설")</f>
        <v/>
      </c>
      <c r="F7" s="10">
        <f>SUM(B7:E7)</f>
        <v/>
      </c>
    </row>
    <row r="8">
      <c r="A8" s="10" t="inlineStr">
        <is>
          <t>필살기</t>
        </is>
      </c>
      <c r="B8" s="10">
        <f>COUNTIFS('카드 목록'!$E:$E,$A8,'카드 목록'!$D:$D,"일반")</f>
        <v/>
      </c>
      <c r="C8" s="10">
        <f>COUNTIFS('카드 목록'!$E:$E,$A8,'카드 목록'!$D:$D,"희귀")</f>
        <v/>
      </c>
      <c r="D8" s="10">
        <f>COUNTIFS('카드 목록'!$E:$E,$A8,'카드 목록'!$D:$D,"영웅")</f>
        <v/>
      </c>
      <c r="E8" s="10">
        <f>COUNTIFS('카드 목록'!$E:$E,$A8,'카드 목록'!$D:$D,"전설")</f>
        <v/>
      </c>
      <c r="F8" s="10">
        <f>SUM(B8:E8)</f>
        <v/>
      </c>
    </row>
    <row r="9">
      <c r="A9" s="10" t="inlineStr">
        <is>
          <t>특수</t>
        </is>
      </c>
      <c r="B9" s="10">
        <f>COUNTIFS('카드 목록'!$E:$E,$A9,'카드 목록'!$D:$D,"일반")</f>
        <v/>
      </c>
      <c r="C9" s="10">
        <f>COUNTIFS('카드 목록'!$E:$E,$A9,'카드 목록'!$D:$D,"희귀")</f>
        <v/>
      </c>
      <c r="D9" s="10">
        <f>COUNTIFS('카드 목록'!$E:$E,$A9,'카드 목록'!$D:$D,"영웅")</f>
        <v/>
      </c>
      <c r="E9" s="10">
        <f>COUNTIFS('카드 목록'!$E:$E,$A9,'카드 목록'!$D:$D,"전설")</f>
        <v/>
      </c>
      <c r="F9" s="10">
        <f>SUM(B9:E9)</f>
        <v/>
      </c>
    </row>
    <row r="10">
      <c r="A10" s="11" t="inlineStr">
        <is>
          <t>합계</t>
        </is>
      </c>
      <c r="B10" s="11">
        <f>SUM(B4:B9)</f>
        <v/>
      </c>
      <c r="C10" s="11">
        <f>SUM(C4:C9)</f>
        <v/>
      </c>
      <c r="D10" s="11">
        <f>SUM(D4:D9)</f>
        <v/>
      </c>
      <c r="E10" s="11">
        <f>SUM(E4:E9)</f>
        <v/>
      </c>
      <c r="F10" s="11">
        <f>SUM(F4:F9)</f>
        <v/>
      </c>
    </row>
    <row r="12">
      <c r="A12" s="12" t="inlineStr">
        <is>
          <t>사용자 제안 카드 수</t>
        </is>
      </c>
      <c r="B12" s="13">
        <f>COUNTIF('카드 목록'!$L:$L,"사용자*")</f>
        <v/>
      </c>
    </row>
    <row r="13">
      <c r="A13" s="12" t="inlineStr">
        <is>
          <t>기존 상점에서 옮긴 카드</t>
        </is>
      </c>
      <c r="B13" s="13">
        <f>COUNTIF('카드 목록'!$L:$L,"*기존 상점*")</f>
        <v/>
      </c>
    </row>
    <row r="15">
      <c r="A15" s="14" t="inlineStr">
        <is>
          <t>능력치 카드 수</t>
        </is>
      </c>
      <c r="B15" s="13">
        <f>COUNTIF('카드 목록'!$F:$F,"능력치")</f>
        <v/>
      </c>
    </row>
    <row r="16">
      <c r="A16" s="15" t="inlineStr">
        <is>
          <t>특수 카드 수</t>
        </is>
      </c>
      <c r="B16" s="13">
        <f>COUNTIF('카드 목록'!$F:$F,"특수")</f>
        <v/>
      </c>
    </row>
    <row r="17">
      <c r="A17" s="16" t="inlineStr">
        <is>
          <t>특수(중첩) 카드 수</t>
        </is>
      </c>
      <c r="B17" s="13">
        <f>COUNTIF('카드 목록'!$F:$F,"특수(중첩)")</f>
        <v/>
      </c>
    </row>
    <row r="18">
      <c r="A18" s="17" t="inlineStr">
        <is>
          <t>소모 카드 수</t>
        </is>
      </c>
      <c r="B18" s="13">
        <f>COUNTIF('카드 목록'!$F:$F,"소모")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6.5"/>
  <cols>
    <col width="8" customWidth="1" style="37" min="1" max="1"/>
    <col width="10" customWidth="1" style="37" min="2" max="2"/>
    <col width="14" customWidth="1" style="37" min="3" max="3"/>
    <col width="12" customWidth="1" style="37" min="4" max="4"/>
    <col width="46" customWidth="1" style="37" min="5" max="5"/>
    <col width="14" customWidth="1" style="37" min="6" max="7"/>
    <col width="18" customWidth="1" style="37" min="8" max="8"/>
    <col width="20" customWidth="1" style="37" min="9" max="9"/>
  </cols>
  <sheetData>
    <row r="1" ht="20.25" customHeight="1" s="37">
      <c r="A1" s="1" t="inlineStr">
        <is>
          <t>등급별 테두리와 출현 확률</t>
        </is>
      </c>
    </row>
    <row r="3" ht="27" customHeight="1" s="37">
      <c r="A3" s="5" t="inlineStr">
        <is>
          <t>등급</t>
        </is>
      </c>
      <c r="B3" s="5" t="inlineStr">
        <is>
          <t>영문</t>
        </is>
      </c>
      <c r="C3" s="5" t="inlineStr">
        <is>
          <t>테두리 색(HEX)</t>
        </is>
      </c>
      <c r="D3" s="5" t="inlineStr">
        <is>
          <t>색 미리보기</t>
        </is>
      </c>
      <c r="E3" s="5" t="inlineStr">
        <is>
          <t>테두리 연출</t>
        </is>
      </c>
      <c r="F3" s="5" t="inlineStr">
        <is>
          <t>스테이지 1 확률</t>
        </is>
      </c>
      <c r="G3" s="5" t="inlineStr">
        <is>
          <t>스테이지 2 확률</t>
        </is>
      </c>
      <c r="H3" s="5" t="inlineStr">
        <is>
          <t>스테이지 3 (보스전) 확률</t>
        </is>
      </c>
      <c r="I3" s="5" t="inlineStr">
        <is>
          <t>행운 카드 1단계당 보정(%p)</t>
        </is>
      </c>
    </row>
    <row r="4">
      <c r="A4" s="10" t="inlineStr">
        <is>
          <t>일반</t>
        </is>
      </c>
      <c r="B4" s="10" t="inlineStr">
        <is>
          <t>COMMON</t>
        </is>
      </c>
      <c r="C4" s="10" t="inlineStr">
        <is>
          <t>#9AA0B5</t>
        </is>
      </c>
      <c r="D4" s="18" t="n"/>
      <c r="E4" s="38" t="inlineStr">
        <is>
          <t>회색 2px 단색 테두리</t>
        </is>
      </c>
      <c r="F4" s="19" t="n">
        <v>0.5</v>
      </c>
      <c r="G4" s="19" t="n">
        <v>0.43</v>
      </c>
      <c r="H4" s="19" t="n">
        <v>0.36</v>
      </c>
      <c r="I4" s="39" t="n">
        <v>-0.05</v>
      </c>
    </row>
    <row r="5">
      <c r="A5" s="10" t="inlineStr">
        <is>
          <t>희귀</t>
        </is>
      </c>
      <c r="B5" s="10" t="inlineStr">
        <is>
          <t>RARE</t>
        </is>
      </c>
      <c r="C5" s="10" t="inlineStr">
        <is>
          <t>#4FA3FF</t>
        </is>
      </c>
      <c r="D5" s="21" t="n"/>
      <c r="E5" s="38" t="inlineStr">
        <is>
          <t>파랑 2px + 모서리 도트 장식</t>
        </is>
      </c>
      <c r="F5" s="19" t="n">
        <v>0.36</v>
      </c>
      <c r="G5" s="19" t="n">
        <v>0.39</v>
      </c>
      <c r="H5" s="19" t="n">
        <v>0.41</v>
      </c>
      <c r="I5" s="39" t="n">
        <v>0.02</v>
      </c>
    </row>
    <row r="6">
      <c r="A6" s="10" t="inlineStr">
        <is>
          <t>영웅</t>
        </is>
      </c>
      <c r="B6" s="10" t="inlineStr">
        <is>
          <t>EPIC</t>
        </is>
      </c>
      <c r="C6" s="10" t="inlineStr">
        <is>
          <t>#E05CFF</t>
        </is>
      </c>
      <c r="D6" s="22" t="n"/>
      <c r="E6" s="38" t="inlineStr">
        <is>
          <t>마젠타 3px + 테두리 위를 빛 한 점이 천천히 돈다</t>
        </is>
      </c>
      <c r="F6" s="19" t="n">
        <v>0.11</v>
      </c>
      <c r="G6" s="19" t="n">
        <v>0.13</v>
      </c>
      <c r="H6" s="19" t="n">
        <v>0.15</v>
      </c>
      <c r="I6" s="39" t="n">
        <v>0.02</v>
      </c>
    </row>
    <row r="7">
      <c r="A7" s="10" t="inlineStr">
        <is>
          <t>전설</t>
        </is>
      </c>
      <c r="B7" s="10" t="inlineStr">
        <is>
          <t>LEGEND</t>
        </is>
      </c>
      <c r="C7" s="10" t="inlineStr">
        <is>
          <t>#FFC93C</t>
        </is>
      </c>
      <c r="D7" s="23" t="n"/>
      <c r="E7" s="38" t="inlineStr">
        <is>
          <t>금색 3px + 반짝임 파티클, 카드가 열릴 때 화면 흰색 플래시</t>
        </is>
      </c>
      <c r="F7" s="19" t="n">
        <v>0.03</v>
      </c>
      <c r="G7" s="19" t="n">
        <v>0.05</v>
      </c>
      <c r="H7" s="19" t="n">
        <v>0.08</v>
      </c>
      <c r="I7" s="39" t="n">
        <v>0.01</v>
      </c>
    </row>
    <row r="8">
      <c r="E8" s="13" t="inlineStr">
        <is>
          <t>합계 (100%여야 함)</t>
        </is>
      </c>
      <c r="F8" s="24">
        <f>SUM(F4:F7)</f>
        <v/>
      </c>
      <c r="G8" s="24">
        <f>SUM(G4:G7)</f>
        <v/>
      </c>
      <c r="H8" s="24">
        <f>SUM(H4:H7)</f>
        <v/>
      </c>
      <c r="I8" s="40">
        <f>SUM(I4:I7)</f>
        <v/>
      </c>
    </row>
    <row r="10">
      <c r="A10" s="13" t="inlineStr">
        <is>
          <t>메모</t>
        </is>
      </c>
    </row>
    <row r="11">
      <c r="A11" s="12" t="inlineStr">
        <is>
          <t>· 확률은 먼저 등급을 뽑는 데 쓴다. 카드 3장 각각 따로 뽑는다.</t>
        </is>
      </c>
    </row>
    <row r="12">
      <c r="A12" s="12" t="inlineStr">
        <is>
          <t>· 0.4.5: 스테이지 1 일반 50% 기준으로 다시 맞춤. 일반 50/43/36%, 희귀 36/39/41%, 영웅 11/13/15%, 전설 3/5/8%</t>
        </is>
      </c>
    </row>
    <row r="13">
      <c r="A13" s="12" t="inlineStr">
        <is>
          <t>· 상점 뽑기는 방금 끝낸 스테이지의 확률 + '희귀 이상 1장 보장'. 3장이 모두 일반으로 나오면 1장을 희귀로 다시 뽑는다.</t>
        </is>
      </c>
    </row>
    <row r="14">
      <c r="A14" s="12" t="inlineStr">
        <is>
          <t>· 스테이지 3(보스전)은 레벨업 대신 보스 체력 단계가 바뀔 때 카드를 준다 ('경험치' 시트).</t>
        </is>
      </c>
    </row>
    <row r="15">
      <c r="A15" s="12" t="inlineStr">
        <is>
          <t>· 행운(LUCK) 카드 1단계마다 일반 -5%p, 희귀 +2%p, 영웅 +2%p, 전설 +1%p. (보정 합계가 0이라 전체 합은 100% 유지)</t>
        </is>
      </c>
    </row>
    <row r="16">
      <c r="A16" s="12" t="inlineStr">
        <is>
          <t>· 영웅 테두리는 배경이 보라 계열이라 보라 대신 밝은 마젠타로 잡았다. 실제 화면에서 보고 조정.</t>
        </is>
      </c>
    </row>
    <row r="17">
      <c r="A17" s="12" t="inlineStr">
        <is>
          <t>· 확률 값(파란 글씨)은 임시값이다. 플레이테스트 후 조정.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6" customWidth="1" style="37" min="1" max="1"/>
    <col width="18" customWidth="1" style="37" min="2" max="2"/>
    <col width="15" customWidth="1" style="37" min="3" max="3"/>
    <col width="7" customWidth="1" style="37" min="4" max="4"/>
    <col width="8" customWidth="1" style="37" min="5" max="5"/>
    <col width="10" customWidth="1" style="37" min="6" max="6"/>
    <col width="44" customWidth="1" style="37" min="7" max="7"/>
    <col width="15" customWidth="1" style="37" min="8" max="8"/>
    <col width="9" customWidth="1" style="37" min="9" max="9"/>
    <col width="20" customWidth="1" style="37" min="10" max="10"/>
    <col width="18" customWidth="1" style="37" min="11" max="11"/>
    <col width="16" customWidth="1" style="37" min="12" max="12"/>
    <col width="9" customWidth="1" style="37" min="13" max="13"/>
    <col width="40" customWidth="1" style="37" min="14" max="14"/>
  </cols>
  <sheetData>
    <row r="1" ht="27" customHeight="1" s="37">
      <c r="A1" s="5" t="inlineStr">
        <is>
          <t>ID</t>
        </is>
      </c>
      <c r="B1" s="5" t="inlineStr">
        <is>
          <t>카드 이름</t>
        </is>
      </c>
      <c r="C1" s="5" t="inlineStr">
        <is>
          <t>게임 표기</t>
        </is>
      </c>
      <c r="D1" s="5" t="inlineStr">
        <is>
          <t>등급</t>
        </is>
      </c>
      <c r="E1" s="5" t="inlineStr">
        <is>
          <t>분류</t>
        </is>
      </c>
      <c r="F1" s="5" t="inlineStr">
        <is>
          <t>종류</t>
        </is>
      </c>
      <c r="G1" s="5" t="inlineStr">
        <is>
          <t>효과</t>
        </is>
      </c>
      <c r="H1" s="5" t="inlineStr">
        <is>
          <t>1회당 수치</t>
        </is>
      </c>
      <c r="I1" s="5" t="inlineStr">
        <is>
          <t>최대 중첩</t>
        </is>
      </c>
      <c r="J1" s="5" t="inlineStr">
        <is>
          <t>선행 조건</t>
        </is>
      </c>
      <c r="K1" s="5" t="inlineStr">
        <is>
          <t>아이콘 아이디어</t>
        </is>
      </c>
      <c r="L1" s="5" t="inlineStr">
        <is>
          <t>출처</t>
        </is>
      </c>
      <c r="M1" s="5" t="inlineStr">
        <is>
          <t>구현 난이도</t>
        </is>
      </c>
      <c r="N1" s="5" t="inlineStr">
        <is>
          <t>비고</t>
        </is>
      </c>
    </row>
    <row r="2" ht="40.5" customHeight="1" s="37">
      <c r="A2" s="10" t="inlineStr">
        <is>
          <t>A01</t>
        </is>
      </c>
      <c r="B2" s="38" t="inlineStr">
        <is>
          <t>공격력 강화</t>
        </is>
      </c>
      <c r="C2" s="38" t="inlineStr">
        <is>
          <t>ATTACK UP</t>
        </is>
      </c>
      <c r="D2" s="10" t="inlineStr">
        <is>
          <t>희귀</t>
        </is>
      </c>
      <c r="E2" s="10" t="inlineStr">
        <is>
          <t>공격</t>
        </is>
      </c>
      <c r="F2" s="10" t="inlineStr">
        <is>
          <t>능력치</t>
        </is>
      </c>
      <c r="G2" s="38" t="inlineStr">
        <is>
          <t>섀도우볼 피해 증가 (공이 커지는 연출 유지). 0.4.2: 피해 10단위 (기본 10, 단계마다 +3, 최대 25)</t>
        </is>
      </c>
      <c r="H2" s="26" t="inlineStr">
        <is>
          <t>피해 +3</t>
        </is>
      </c>
      <c r="I2" s="27" t="n">
        <v>5</v>
      </c>
      <c r="J2" s="38" t="n"/>
      <c r="K2" s="38" t="inlineStr">
        <is>
          <t>주먹 / 보라 공</t>
        </is>
      </c>
      <c r="L2" s="38" t="inlineStr">
        <is>
          <t>기존 상점</t>
        </is>
      </c>
      <c r="M2" s="10" t="inlineStr">
        <is>
          <t>하</t>
        </is>
      </c>
      <c r="N2" s="38" t="inlineStr">
        <is>
          <t>기존 공격력 업그레이드(최대 4)를 5로. 0.4.2: 한 장에 피해가 두 배가 되던 1 단위를 10 단위로 바꾸고, 뽑힐 비중도 같은 등급 카드와 같게(1) — 비중 4·2 모두 너무 자주 나왔다</t>
        </is>
      </c>
    </row>
    <row r="3">
      <c r="A3" s="10" t="inlineStr">
        <is>
          <t>A02</t>
        </is>
      </c>
      <c r="B3" s="38" t="inlineStr">
        <is>
          <t>연사 강화</t>
        </is>
      </c>
      <c r="C3" s="38" t="inlineStr">
        <is>
          <t>FIRE RATE</t>
        </is>
      </c>
      <c r="D3" s="10" t="inlineStr">
        <is>
          <t>일반</t>
        </is>
      </c>
      <c r="E3" s="10" t="inlineStr">
        <is>
          <t>공격</t>
        </is>
      </c>
      <c r="F3" s="10" t="inlineStr">
        <is>
          <t>능력치</t>
        </is>
      </c>
      <c r="G3" s="38" t="inlineStr">
        <is>
          <t>발사 간격 감소</t>
        </is>
      </c>
      <c r="H3" s="26" t="inlineStr">
        <is>
          <t>간격 -15%</t>
        </is>
      </c>
      <c r="I3" s="27" t="n">
        <v>4</v>
      </c>
      <c r="J3" s="38" t="n"/>
      <c r="K3" s="38" t="inlineStr">
        <is>
          <t>공 2개 겹침</t>
        </is>
      </c>
      <c r="L3" s="38" t="inlineStr">
        <is>
          <t>기존 상점</t>
        </is>
      </c>
      <c r="M3" s="10" t="inlineStr">
        <is>
          <t>하</t>
        </is>
      </c>
      <c r="N3" s="38" t="n"/>
    </row>
    <row r="4">
      <c r="A4" s="10" t="inlineStr">
        <is>
          <t>A03</t>
        </is>
      </c>
      <c r="B4" s="38" t="inlineStr">
        <is>
          <t>사거리 증가</t>
        </is>
      </c>
      <c r="C4" s="38" t="inlineStr">
        <is>
          <t>RANGE UP</t>
        </is>
      </c>
      <c r="D4" s="10" t="inlineStr">
        <is>
          <t>일반</t>
        </is>
      </c>
      <c r="E4" s="10" t="inlineStr">
        <is>
          <t>공격</t>
        </is>
      </c>
      <c r="F4" s="10" t="inlineStr">
        <is>
          <t>능력치</t>
        </is>
      </c>
      <c r="G4" s="38" t="inlineStr">
        <is>
          <t>섀도우볼이 더 멀리 날아감</t>
        </is>
      </c>
      <c r="H4" s="26" t="inlineStr">
        <is>
          <t>수명 +20%</t>
        </is>
      </c>
      <c r="I4" s="27" t="n">
        <v>3</v>
      </c>
      <c r="J4" s="38" t="n"/>
      <c r="K4" s="38" t="inlineStr">
        <is>
          <t>화살표 →→</t>
        </is>
      </c>
      <c r="L4" s="38" t="inlineStr">
        <is>
          <t>기획 추가</t>
        </is>
      </c>
      <c r="M4" s="10" t="inlineStr">
        <is>
          <t>하</t>
        </is>
      </c>
      <c r="N4" s="38" t="inlineStr">
        <is>
          <t>0.4.7: 실제 사거리 = 속도 x 수명(기본 36 + 공격력 단계마다 3, 사거리 +20%/단계) x 튕김 1.6 x 산탄 0.55 x 레이저 2.6배 속도. 능력치 패널 RANGE 가 이 값</t>
        </is>
      </c>
    </row>
    <row r="5">
      <c r="A5" s="10" t="inlineStr">
        <is>
          <t>A04</t>
        </is>
      </c>
      <c r="B5" s="38" t="inlineStr">
        <is>
          <t>탄속 증가</t>
        </is>
      </c>
      <c r="C5" s="38" t="inlineStr">
        <is>
          <t>SHOT SPEED</t>
        </is>
      </c>
      <c r="D5" s="10" t="inlineStr">
        <is>
          <t>일반</t>
        </is>
      </c>
      <c r="E5" s="10" t="inlineStr">
        <is>
          <t>공격</t>
        </is>
      </c>
      <c r="F5" s="10" t="inlineStr">
        <is>
          <t>능력치</t>
        </is>
      </c>
      <c r="G5" s="38" t="inlineStr">
        <is>
          <t>섀도우볼이 더 빨리 날아감</t>
        </is>
      </c>
      <c r="H5" s="26" t="inlineStr">
        <is>
          <t>속도 +20%</t>
        </is>
      </c>
      <c r="I5" s="27" t="n">
        <v>2</v>
      </c>
      <c r="J5" s="38" t="n"/>
      <c r="K5" s="38" t="inlineStr">
        <is>
          <t>속도선이 붙은 공</t>
        </is>
      </c>
      <c r="L5" s="38" t="inlineStr">
        <is>
          <t>기획 추가</t>
        </is>
      </c>
      <c r="M5" s="10" t="inlineStr">
        <is>
          <t>하</t>
        </is>
      </c>
      <c r="N5" s="38" t="n"/>
    </row>
    <row r="6">
      <c r="A6" s="10" t="inlineStr">
        <is>
          <t>A05</t>
        </is>
      </c>
      <c r="B6" s="38" t="inlineStr">
        <is>
          <t>넉백 강화</t>
        </is>
      </c>
      <c r="C6" s="38" t="inlineStr">
        <is>
          <t>KNOCKBACK</t>
        </is>
      </c>
      <c r="D6" s="10" t="inlineStr">
        <is>
          <t>일반</t>
        </is>
      </c>
      <c r="E6" s="10" t="inlineStr">
        <is>
          <t>공격</t>
        </is>
      </c>
      <c r="F6" s="10" t="inlineStr">
        <is>
          <t>능력치</t>
        </is>
      </c>
      <c r="G6" s="38" t="inlineStr">
        <is>
          <t>맞은 적이 더 멀리 밀려남</t>
        </is>
      </c>
      <c r="H6" s="26" t="inlineStr">
        <is>
          <t>넉백 +50%</t>
        </is>
      </c>
      <c r="I6" s="27" t="n">
        <v>2</v>
      </c>
      <c r="J6" s="38" t="n"/>
      <c r="K6" s="38" t="inlineStr">
        <is>
          <t>튕겨 나가는 슬라임</t>
        </is>
      </c>
      <c r="L6" s="38" t="inlineStr">
        <is>
          <t>기획 추가</t>
        </is>
      </c>
      <c r="M6" s="10" t="inlineStr">
        <is>
          <t>하</t>
        </is>
      </c>
      <c r="N6" s="38" t="n"/>
    </row>
    <row r="7">
      <c r="A7" s="10" t="inlineStr">
        <is>
          <t>A07</t>
        </is>
      </c>
      <c r="B7" s="38" t="inlineStr">
        <is>
          <t>치명타</t>
        </is>
      </c>
      <c r="C7" s="38" t="inlineStr">
        <is>
          <t>CRITICAL</t>
        </is>
      </c>
      <c r="D7" s="10" t="inlineStr">
        <is>
          <t>희귀</t>
        </is>
      </c>
      <c r="E7" s="10" t="inlineStr">
        <is>
          <t>공격</t>
        </is>
      </c>
      <c r="F7" s="10" t="inlineStr">
        <is>
          <t>능력치</t>
        </is>
      </c>
      <c r="G7" s="38" t="inlineStr">
        <is>
          <t>일정 확률로 2배 피해 + 노란 숫자</t>
        </is>
      </c>
      <c r="H7" s="26" t="inlineStr">
        <is>
          <t>확률 +15%</t>
        </is>
      </c>
      <c r="I7" s="27" t="n">
        <v>3</v>
      </c>
      <c r="J7" s="38" t="n"/>
      <c r="K7" s="38" t="inlineStr">
        <is>
          <t>번개 / 별</t>
        </is>
      </c>
      <c r="L7" s="38" t="inlineStr">
        <is>
          <t>기획 추가</t>
        </is>
      </c>
      <c r="M7" s="10" t="inlineStr">
        <is>
          <t>하</t>
        </is>
      </c>
      <c r="N7" s="38" t="inlineStr">
        <is>
          <t>최대 45%</t>
        </is>
      </c>
    </row>
    <row r="8">
      <c r="A8" s="10" t="inlineStr">
        <is>
          <t>A06</t>
        </is>
      </c>
      <c r="B8" s="38" t="inlineStr">
        <is>
          <t>관통</t>
        </is>
      </c>
      <c r="C8" s="38" t="inlineStr">
        <is>
          <t>PIERCE</t>
        </is>
      </c>
      <c r="D8" s="10" t="inlineStr">
        <is>
          <t>희귀</t>
        </is>
      </c>
      <c r="E8" s="10" t="inlineStr">
        <is>
          <t>공격</t>
        </is>
      </c>
      <c r="F8" s="10" t="inlineStr">
        <is>
          <t>특수(중첩)</t>
        </is>
      </c>
      <c r="G8" s="38" t="inlineStr">
        <is>
          <t>적을 맞혀도 사라지지 않고 다음 적까지 관통</t>
        </is>
      </c>
      <c r="H8" s="26" t="inlineStr">
        <is>
          <t>관통 +1명</t>
        </is>
      </c>
      <c r="I8" s="27" t="n">
        <v>2</v>
      </c>
      <c r="J8" s="38" t="n"/>
      <c r="K8" s="38" t="inlineStr">
        <is>
          <t>공이 박스를 뚫음</t>
        </is>
      </c>
      <c r="L8" s="38" t="inlineStr">
        <is>
          <t>기획 추가</t>
        </is>
      </c>
      <c r="M8" s="10" t="inlineStr">
        <is>
          <t>중</t>
        </is>
      </c>
      <c r="N8" s="38" t="inlineStr">
        <is>
          <t>관통한 적은 같은 공에 다시 안 맞게 기록</t>
        </is>
      </c>
    </row>
    <row r="9">
      <c r="A9" s="10" t="inlineStr">
        <is>
          <t>A08</t>
        </is>
      </c>
      <c r="B9" s="38" t="inlineStr">
        <is>
          <t>후방 사격</t>
        </is>
      </c>
      <c r="C9" s="38" t="inlineStr">
        <is>
          <t>BACK SHOT</t>
        </is>
      </c>
      <c r="D9" s="10" t="inlineStr">
        <is>
          <t>희귀</t>
        </is>
      </c>
      <c r="E9" s="10" t="inlineStr">
        <is>
          <t>공격</t>
        </is>
      </c>
      <c r="F9" s="10" t="inlineStr">
        <is>
          <t>특수</t>
        </is>
      </c>
      <c r="G9" s="38" t="inlineStr">
        <is>
          <t>뒤쪽으로도 같은 공을 발사 (피해 50%)</t>
        </is>
      </c>
      <c r="H9" s="26" t="inlineStr">
        <is>
          <t>뒤로 발사</t>
        </is>
      </c>
      <c r="I9" s="27" t="n">
        <v>1</v>
      </c>
      <c r="J9" s="38" t="n"/>
      <c r="K9" s="38" t="inlineStr">
        <is>
          <t>양쪽 화살표</t>
        </is>
      </c>
      <c r="L9" s="38" t="inlineStr">
        <is>
          <t>기획 추가</t>
        </is>
      </c>
      <c r="M9" s="10" t="inlineStr">
        <is>
          <t>하</t>
        </is>
      </c>
      <c r="N9" s="38" t="inlineStr">
        <is>
          <t>멀티샷과 겹치면 뒤로도 같은 수만큼</t>
        </is>
      </c>
    </row>
    <row r="10">
      <c r="A10" s="10" t="inlineStr">
        <is>
          <t>A09</t>
        </is>
      </c>
      <c r="B10" s="38" t="inlineStr">
        <is>
          <t>처형자</t>
        </is>
      </c>
      <c r="C10" s="38" t="inlineStr">
        <is>
          <t>EXECUTE</t>
        </is>
      </c>
      <c r="D10" s="10" t="inlineStr">
        <is>
          <t>희귀</t>
        </is>
      </c>
      <c r="E10" s="10" t="inlineStr">
        <is>
          <t>공격</t>
        </is>
      </c>
      <c r="F10" s="10" t="inlineStr">
        <is>
          <t>특수</t>
        </is>
      </c>
      <c r="G10" s="38" t="inlineStr">
        <is>
          <t>체력 30% 이하인 적에게 피해 증가</t>
        </is>
      </c>
      <c r="H10" s="26" t="inlineStr">
        <is>
          <t>피해 +50%</t>
        </is>
      </c>
      <c r="I10" s="27" t="n">
        <v>1</v>
      </c>
      <c r="J10" s="38" t="n"/>
      <c r="K10" s="38" t="inlineStr">
        <is>
          <t>해골</t>
        </is>
      </c>
      <c r="L10" s="38" t="inlineStr">
        <is>
          <t>기획 추가</t>
        </is>
      </c>
      <c r="M10" s="10" t="inlineStr">
        <is>
          <t>하</t>
        </is>
      </c>
      <c r="N10" s="38" t="inlineStr">
        <is>
          <t>보스에게도 적용</t>
        </is>
      </c>
    </row>
    <row r="11" ht="27" customHeight="1" s="37">
      <c r="A11" s="10" t="inlineStr">
        <is>
          <t>A10</t>
        </is>
      </c>
      <c r="B11" s="2" t="inlineStr">
        <is>
          <t>멀티샷</t>
        </is>
      </c>
      <c r="C11" s="38" t="inlineStr">
        <is>
          <t>MULTI SHOT</t>
        </is>
      </c>
      <c r="D11" s="10" t="inlineStr">
        <is>
          <t>영웅</t>
        </is>
      </c>
      <c r="E11" s="10" t="inlineStr">
        <is>
          <t>공격</t>
        </is>
      </c>
      <c r="F11" s="10" t="inlineStr">
        <is>
          <t>특수(중첩)</t>
        </is>
      </c>
      <c r="G11" s="38" t="inlineStr">
        <is>
          <t>한 번에 발사하는 섀도우볼 수 증가 (부채꼴)</t>
        </is>
      </c>
      <c r="H11" s="26" t="inlineStr">
        <is>
          <t>투사체 +1</t>
        </is>
      </c>
      <c r="I11" s="27" t="n">
        <v>2</v>
      </c>
      <c r="J11" s="38" t="n"/>
      <c r="K11" s="38" t="inlineStr">
        <is>
          <t>공 3개 부채꼴</t>
        </is>
      </c>
      <c r="L11" s="2" t="inlineStr">
        <is>
          <t>사용자 + 기존 상점</t>
        </is>
      </c>
      <c r="M11" s="10" t="inlineStr">
        <is>
          <t>하</t>
        </is>
      </c>
      <c r="N11" s="38" t="inlineStr">
        <is>
          <t>사용자: 전설 바로 아래 등급. 중첩 가능한 특수 능력. 이미 구현됨(ShotCount)</t>
        </is>
      </c>
    </row>
    <row r="12">
      <c r="A12" s="10" t="inlineStr">
        <is>
          <t>A11</t>
        </is>
      </c>
      <c r="B12" s="38" t="inlineStr">
        <is>
          <t>튕기는 탄</t>
        </is>
      </c>
      <c r="C12" s="38" t="inlineStr">
        <is>
          <t>BOUNCE</t>
        </is>
      </c>
      <c r="D12" s="10" t="inlineStr">
        <is>
          <t>희귀</t>
        </is>
      </c>
      <c r="E12" s="10" t="inlineStr">
        <is>
          <t>공격</t>
        </is>
      </c>
      <c r="F12" s="10" t="inlineStr">
        <is>
          <t>특수(중첩)</t>
        </is>
      </c>
      <c r="G12" s="38" t="inlineStr">
        <is>
          <t>벽·바닥에 닿거나 적을 맞히면 튕겨서 계속 날아감 (적에게 맞으면 아무 방향으로 튐, 튕긴 뒤 같은 적도 다시 맞힘). 사거리 1.6배</t>
        </is>
      </c>
      <c r="H12" s="26" t="inlineStr">
        <is>
          <t>튕김 2 → 3</t>
        </is>
      </c>
      <c r="I12" s="27" t="n">
        <v>2</v>
      </c>
      <c r="J12" s="38" t="n"/>
      <c r="K12" s="38" t="inlineStr">
        <is>
          <t>지그재그 공</t>
        </is>
      </c>
      <c r="L12" s="38" t="inlineStr">
        <is>
          <t>기획 추가</t>
        </is>
      </c>
      <c r="M12" s="10" t="inlineStr">
        <is>
          <t>중</t>
        </is>
      </c>
      <c r="N12" s="38" t="inlineStr">
        <is>
          <t>타일 충돌 시 반사, 뜬 발판은 통과. 0.2.3 재설계: 벽에서만 튕겨서 쓸모가 적었음 → 적에게도 튕김. 3/5번일 때 보스 피해가 약 4배여서 2/3번으로 조정 / 0.4.2: 영웅 -&gt; 희귀</t>
        </is>
      </c>
    </row>
    <row r="13">
      <c r="A13" s="10" t="inlineStr">
        <is>
          <t>A12</t>
        </is>
      </c>
      <c r="B13" s="38" t="inlineStr">
        <is>
          <t>폭발탄</t>
        </is>
      </c>
      <c r="C13" s="38" t="inlineStr">
        <is>
          <t>BURST SHOT</t>
        </is>
      </c>
      <c r="D13" s="10" t="inlineStr">
        <is>
          <t>영웅</t>
        </is>
      </c>
      <c r="E13" s="10" t="inlineStr">
        <is>
          <t>공격</t>
        </is>
      </c>
      <c r="F13" s="10" t="inlineStr">
        <is>
          <t>특수</t>
        </is>
      </c>
      <c r="G13" s="38" t="inlineStr">
        <is>
          <t>적중 지점에 폭발 (반경 40px, 피해 50%)</t>
        </is>
      </c>
      <c r="H13" s="26" t="inlineStr">
        <is>
          <t>폭발</t>
        </is>
      </c>
      <c r="I13" s="27" t="n">
        <v>1</v>
      </c>
      <c r="J13" s="38" t="n"/>
      <c r="K13" s="38" t="inlineStr">
        <is>
          <t>터지는 별</t>
        </is>
      </c>
      <c r="L13" s="38" t="inlineStr">
        <is>
          <t>기획 추가</t>
        </is>
      </c>
      <c r="M13" s="10" t="inlineStr">
        <is>
          <t>중</t>
        </is>
      </c>
      <c r="N13" s="38" t="inlineStr">
        <is>
          <t>기존 Effects.Burst 재사용</t>
        </is>
      </c>
    </row>
    <row r="14" ht="40.5" customHeight="1" s="37">
      <c r="A14" s="10" t="inlineStr">
        <is>
          <t>A13</t>
        </is>
      </c>
      <c r="B14" s="38" t="inlineStr">
        <is>
          <t>저주탄</t>
        </is>
      </c>
      <c r="C14" s="38" t="inlineStr">
        <is>
          <t>CURSE</t>
        </is>
      </c>
      <c r="D14" s="10" t="inlineStr">
        <is>
          <t>희귀</t>
        </is>
      </c>
      <c r="E14" s="10" t="inlineStr">
        <is>
          <t>공격</t>
        </is>
      </c>
      <c r="F14" s="10" t="inlineStr">
        <is>
          <t>특수</t>
        </is>
      </c>
      <c r="G14" s="38" t="inlineStr">
        <is>
          <t>맞은 적이 2초 동안 받는 피해 2배 (보라 표식). 같은 적은 15초 동안 다시 걸리지 않음</t>
        </is>
      </c>
      <c r="H14" s="26" t="inlineStr">
        <is>
          <t>2초간 피해 2배 / 쿨 15초</t>
        </is>
      </c>
      <c r="I14" s="27" t="n">
        <v>1</v>
      </c>
      <c r="J14" s="38" t="n"/>
      <c r="K14" s="38" t="inlineStr">
        <is>
          <t>보라 눈</t>
        </is>
      </c>
      <c r="L14" s="38" t="inlineStr">
        <is>
          <t>기획 추가</t>
        </is>
      </c>
      <c r="M14" s="10" t="inlineStr">
        <is>
          <t>중</t>
        </is>
      </c>
      <c r="N14" s="38" t="inlineStr">
        <is>
          <t>밸런스: +25% 는 기본 피해 1에서 반올림되어 효과가 없었음 -&gt; 2초간 2배. 보스에게 2배가 계속 이어지지 않도록 대상별 15초 쿨타임 / 0.4.2: 영웅 -&gt; 희귀</t>
        </is>
      </c>
    </row>
    <row r="15" ht="27" customHeight="1" s="37">
      <c r="A15" s="10" t="inlineStr">
        <is>
          <t>A14</t>
        </is>
      </c>
      <c r="B15" s="2" t="inlineStr">
        <is>
          <t>유도탄</t>
        </is>
      </c>
      <c r="C15" s="38" t="inlineStr">
        <is>
          <t>HOMING</t>
        </is>
      </c>
      <c r="D15" s="10" t="inlineStr">
        <is>
          <t>영웅</t>
        </is>
      </c>
      <c r="E15" s="10" t="inlineStr">
        <is>
          <t>공격</t>
        </is>
      </c>
      <c r="F15" s="10" t="inlineStr">
        <is>
          <t>특수</t>
        </is>
      </c>
      <c r="G15" s="38" t="inlineStr">
        <is>
          <t>섀도우볼이 가장 가까운 적을 향해 휘어서 날아감. 대신 피해 -3 (최소 7)</t>
        </is>
      </c>
      <c r="H15" s="26" t="inlineStr">
        <is>
          <t>유도 / 피해 -3</t>
        </is>
      </c>
      <c r="I15" s="27" t="n">
        <v>1</v>
      </c>
      <c r="J15" s="38" t="n"/>
      <c r="K15" s="38" t="inlineStr">
        <is>
          <t>휘어진 화살표 + 과녁</t>
        </is>
      </c>
      <c r="L15" s="2" t="inlineStr">
        <is>
          <t>사용자</t>
        </is>
      </c>
      <c r="M15" s="10" t="inlineStr">
        <is>
          <t>중</t>
        </is>
      </c>
      <c r="N15" s="38" t="inlineStr">
        <is>
          <t>사용자: 전설 카드였으나 0.4.2 새 카드(혈사포 등)가 늘어 영웅으로. 맞히기 쉬운 대신 피해 -3</t>
        </is>
      </c>
    </row>
    <row r="16">
      <c r="A16" s="10" t="inlineStr">
        <is>
          <t>A15</t>
        </is>
      </c>
      <c r="B16" s="38" t="inlineStr">
        <is>
          <t>분열탄</t>
        </is>
      </c>
      <c r="C16" s="38" t="inlineStr">
        <is>
          <t>SPLIT</t>
        </is>
      </c>
      <c r="D16" s="10" t="inlineStr">
        <is>
          <t>전설</t>
        </is>
      </c>
      <c r="E16" s="10" t="inlineStr">
        <is>
          <t>공격</t>
        </is>
      </c>
      <c r="F16" s="10" t="inlineStr">
        <is>
          <t>특수</t>
        </is>
      </c>
      <c r="G16" s="38" t="inlineStr">
        <is>
          <t>적중하거나 벽·바닥에 닿으면 작은 공 3개로 갈라짐 (피해 40%, 약 380px). 일반 적은 맞은 적을 건너뛰고 퍼지고, 보스는 조각 3개를 모두 맞음</t>
        </is>
      </c>
      <c r="H16" s="26" t="inlineStr">
        <is>
          <t>분열 3개</t>
        </is>
      </c>
      <c r="I16" s="27" t="n">
        <v>1</v>
      </c>
      <c r="J16" s="38" t="n"/>
      <c r="K16" s="38" t="inlineStr">
        <is>
          <t>공이 셋으로 갈라짐</t>
        </is>
      </c>
      <c r="L16" s="38" t="inlineStr">
        <is>
          <t>기획 추가</t>
        </is>
      </c>
      <c r="M16" s="10" t="inlineStr">
        <is>
          <t>중</t>
        </is>
      </c>
      <c r="N16" s="38" t="inlineStr">
        <is>
          <t>분열한 공은 다시 분열하지 않음, 공 하나당 분열 1번. 0.2.3: 조각 사거리 26 → 48프레임, 벽 분열, 보스 판정 추가</t>
        </is>
      </c>
    </row>
    <row r="17" ht="27" customHeight="1" s="37">
      <c r="A17" s="10" t="inlineStr">
        <is>
          <t>A16</t>
        </is>
      </c>
      <c r="B17" s="38" t="inlineStr">
        <is>
          <t>차지샷</t>
        </is>
      </c>
      <c r="C17" s="38" t="inlineStr">
        <is>
          <t>CHARGE SHOT</t>
        </is>
      </c>
      <c r="D17" s="10" t="inlineStr">
        <is>
          <t>영웅</t>
        </is>
      </c>
      <c r="E17" s="10" t="inlineStr">
        <is>
          <t>공격</t>
        </is>
      </c>
      <c r="F17" s="10" t="inlineStr">
        <is>
          <t>특수</t>
        </is>
      </c>
      <c r="G17" s="38" t="inlineStr">
        <is>
          <t>Z를 오래 누를수록 단계가 오름: 0.5초 2배 / 1초 4배 / 1.75초 7배 / 2.5초 10배 피해의 관통 공 (크기 1.4~2.6배)</t>
        </is>
      </c>
      <c r="H17" s="26" t="inlineStr">
        <is>
          <t>차지 4단계 (최대 10배)</t>
        </is>
      </c>
      <c r="I17" s="27" t="n">
        <v>1</v>
      </c>
      <c r="J17" s="38" t="n"/>
      <c r="K17" s="38" t="inlineStr">
        <is>
          <t>커다란 공 + 게이지</t>
        </is>
      </c>
      <c r="L17" s="38" t="inlineStr">
        <is>
          <t>기획 추가</t>
        </is>
      </c>
      <c r="M17" s="10" t="inlineStr">
        <is>
          <t>상</t>
        </is>
      </c>
      <c r="N17" s="38" t="inlineStr">
        <is>
          <t>누르고 있는 동안 연사는 멈춤. 단계마다 빛 색(보라→하늘→분홍→금)과 머리 위 점으로 표시. 0.2.3: 1초 3배 고정은 보스전에서 손해라 단계식으로 / 0.4.2: 멀티샷이 있으면 차지 공도 같은 수만큼 부채꼴로. 혈사포와 함께 나오지 않음. 전설 -&gt; 영웅</t>
        </is>
      </c>
    </row>
    <row r="18">
      <c r="A18" s="10" t="inlineStr">
        <is>
          <t>D01</t>
        </is>
      </c>
      <c r="B18" s="38" t="inlineStr">
        <is>
          <t>최대 하트</t>
        </is>
      </c>
      <c r="C18" s="38" t="inlineStr">
        <is>
          <t>MAX HEART</t>
        </is>
      </c>
      <c r="D18" s="10" t="inlineStr">
        <is>
          <t>일반</t>
        </is>
      </c>
      <c r="E18" s="10" t="inlineStr">
        <is>
          <t>방어</t>
        </is>
      </c>
      <c r="F18" s="10" t="inlineStr">
        <is>
          <t>능력치</t>
        </is>
      </c>
      <c r="G18" s="38" t="inlineStr">
        <is>
          <t>최대 하트 +1 (그 하트도 채워 줌)</t>
        </is>
      </c>
      <c r="H18" s="26" t="inlineStr">
        <is>
          <t>하트 +1</t>
        </is>
      </c>
      <c r="I18" s="27" t="n">
        <v>4</v>
      </c>
      <c r="J18" s="38" t="n"/>
      <c r="K18" s="38" t="inlineStr">
        <is>
          <t>하트</t>
        </is>
      </c>
      <c r="L18" s="38" t="inlineStr">
        <is>
          <t>기존 상점</t>
        </is>
      </c>
      <c r="M18" s="10" t="inlineStr">
        <is>
          <t>하</t>
        </is>
      </c>
      <c r="N18" s="38" t="n"/>
    </row>
    <row r="19" ht="27" customHeight="1" s="37">
      <c r="A19" s="10" t="inlineStr">
        <is>
          <t>D02</t>
        </is>
      </c>
      <c r="B19" s="38" t="inlineStr">
        <is>
          <t>회복</t>
        </is>
      </c>
      <c r="C19" s="38" t="inlineStr">
        <is>
          <t>HEAL</t>
        </is>
      </c>
      <c r="D19" s="10" t="inlineStr">
        <is>
          <t>일반</t>
        </is>
      </c>
      <c r="E19" s="10" t="inlineStr">
        <is>
          <t>방어</t>
        </is>
      </c>
      <c r="F19" s="10" t="inlineStr">
        <is>
          <t>소모</t>
        </is>
      </c>
      <c r="G19" s="38" t="inlineStr">
        <is>
          <t>즉시 하트 2개 회복</t>
        </is>
      </c>
      <c r="H19" s="26" t="inlineStr">
        <is>
          <t>회복 2</t>
        </is>
      </c>
      <c r="I19" s="27" t="n">
        <v>99</v>
      </c>
      <c r="J19" s="38" t="inlineStr">
        <is>
          <t>하트가 가득 차 있지 않을 것</t>
        </is>
      </c>
      <c r="K19" s="38" t="inlineStr">
        <is>
          <t>하트 + 십자</t>
        </is>
      </c>
      <c r="L19" s="38" t="inlineStr">
        <is>
          <t>기획 추가</t>
        </is>
      </c>
      <c r="M19" s="10" t="inlineStr">
        <is>
          <t>하</t>
        </is>
      </c>
      <c r="N19" s="38" t="inlineStr">
        <is>
          <t>소모형. 하트가 가득이면 제시하지 않음</t>
        </is>
      </c>
    </row>
    <row r="20">
      <c r="A20" s="10" t="inlineStr">
        <is>
          <t>D03</t>
        </is>
      </c>
      <c r="B20" s="38" t="inlineStr">
        <is>
          <t>무적 시간 증가</t>
        </is>
      </c>
      <c r="C20" s="38" t="inlineStr">
        <is>
          <t>LONG GUARD</t>
        </is>
      </c>
      <c r="D20" s="10" t="inlineStr">
        <is>
          <t>희귀</t>
        </is>
      </c>
      <c r="E20" s="10" t="inlineStr">
        <is>
          <t>방어</t>
        </is>
      </c>
      <c r="F20" s="10" t="inlineStr">
        <is>
          <t>능력치</t>
        </is>
      </c>
      <c r="G20" s="38" t="inlineStr">
        <is>
          <t>피격 후 무적 시간 증가</t>
        </is>
      </c>
      <c r="H20" s="26" t="inlineStr">
        <is>
          <t>무적 +50%</t>
        </is>
      </c>
      <c r="I20" s="27" t="n">
        <v>2</v>
      </c>
      <c r="J20" s="38" t="n"/>
      <c r="K20" s="38" t="inlineStr">
        <is>
          <t>깜빡이는 유령</t>
        </is>
      </c>
      <c r="L20" s="38" t="inlineStr">
        <is>
          <t>기획 추가</t>
        </is>
      </c>
      <c r="M20" s="10" t="inlineStr">
        <is>
          <t>하</t>
        </is>
      </c>
      <c r="N20" s="38" t="n"/>
    </row>
    <row r="21">
      <c r="A21" s="10" t="inlineStr">
        <is>
          <t>D04</t>
        </is>
      </c>
      <c r="B21" s="38" t="inlineStr">
        <is>
          <t>영혼 흡수</t>
        </is>
      </c>
      <c r="C21" s="38" t="inlineStr">
        <is>
          <t>SOUL DRAIN</t>
        </is>
      </c>
      <c r="D21" s="10" t="inlineStr">
        <is>
          <t>희귀</t>
        </is>
      </c>
      <c r="E21" s="10" t="inlineStr">
        <is>
          <t>방어</t>
        </is>
      </c>
      <c r="F21" s="10" t="inlineStr">
        <is>
          <t>특수</t>
        </is>
      </c>
      <c r="G21" s="38" t="inlineStr">
        <is>
          <t>적 12마리를 처치할 때마다 하트 1개 회복</t>
        </is>
      </c>
      <c r="H21" s="26" t="inlineStr">
        <is>
          <t>12킬당 1</t>
        </is>
      </c>
      <c r="I21" s="27" t="n">
        <v>1</v>
      </c>
      <c r="J21" s="38" t="n"/>
      <c r="K21" s="38" t="inlineStr">
        <is>
          <t>하트로 빨려드는 영혼</t>
        </is>
      </c>
      <c r="L21" s="38" t="inlineStr">
        <is>
          <t>기획 추가</t>
        </is>
      </c>
      <c r="M21" s="10" t="inlineStr">
        <is>
          <t>하</t>
        </is>
      </c>
      <c r="N21" s="38" t="n"/>
    </row>
    <row r="22">
      <c r="A22" s="10" t="inlineStr">
        <is>
          <t>D05</t>
        </is>
      </c>
      <c r="B22" s="38" t="inlineStr">
        <is>
          <t>가시 반격</t>
        </is>
      </c>
      <c r="C22" s="38" t="inlineStr">
        <is>
          <t>THORNS</t>
        </is>
      </c>
      <c r="D22" s="10" t="inlineStr">
        <is>
          <t>희귀</t>
        </is>
      </c>
      <c r="E22" s="10" t="inlineStr">
        <is>
          <t>방어</t>
        </is>
      </c>
      <c r="F22" s="10" t="inlineStr">
        <is>
          <t>특수</t>
        </is>
      </c>
      <c r="G22" s="38" t="inlineStr">
        <is>
          <t>부딪힌 적에게 피해 30</t>
        </is>
      </c>
      <c r="H22" s="26" t="inlineStr">
        <is>
          <t>반격 30</t>
        </is>
      </c>
      <c r="I22" s="27" t="n">
        <v>1</v>
      </c>
      <c r="J22" s="38" t="n"/>
      <c r="K22" s="38" t="inlineStr">
        <is>
          <t>가시 달린 하트</t>
        </is>
      </c>
      <c r="L22" s="38" t="inlineStr">
        <is>
          <t>기획 추가</t>
        </is>
      </c>
      <c r="M22" s="10" t="inlineStr">
        <is>
          <t>하</t>
        </is>
      </c>
      <c r="N22" s="38" t="n"/>
    </row>
    <row r="23">
      <c r="A23" s="10" t="inlineStr">
        <is>
          <t>D06</t>
        </is>
      </c>
      <c r="B23" s="38" t="inlineStr">
        <is>
          <t>그림자 보호막</t>
        </is>
      </c>
      <c r="C23" s="38" t="inlineStr">
        <is>
          <t>SHIELD</t>
        </is>
      </c>
      <c r="D23" s="10" t="inlineStr">
        <is>
          <t>영웅</t>
        </is>
      </c>
      <c r="E23" s="10" t="inlineStr">
        <is>
          <t>방어</t>
        </is>
      </c>
      <c r="F23" s="10" t="inlineStr">
        <is>
          <t>특수</t>
        </is>
      </c>
      <c r="G23" s="38" t="inlineStr">
        <is>
          <t>스테이지마다 피해 1번을 막아 줌 (몸 주위 보라 막)</t>
        </is>
      </c>
      <c r="H23" s="26" t="inlineStr">
        <is>
          <t>1회/스테이지</t>
        </is>
      </c>
      <c r="I23" s="27" t="n">
        <v>1</v>
      </c>
      <c r="J23" s="38" t="n"/>
      <c r="K23" s="38" t="inlineStr">
        <is>
          <t>방패</t>
        </is>
      </c>
      <c r="L23" s="38" t="inlineStr">
        <is>
          <t>기획 추가</t>
        </is>
      </c>
      <c r="M23" s="10" t="inlineStr">
        <is>
          <t>중</t>
        </is>
      </c>
      <c r="N23" s="38" t="n"/>
    </row>
    <row r="24">
      <c r="A24" s="10" t="inlineStr">
        <is>
          <t>D07</t>
        </is>
      </c>
      <c r="B24" s="38" t="inlineStr">
        <is>
          <t>추가 목숨</t>
        </is>
      </c>
      <c r="C24" s="38" t="inlineStr">
        <is>
          <t>EXTRA LIFE</t>
        </is>
      </c>
      <c r="D24" s="10" t="inlineStr">
        <is>
          <t>영웅</t>
        </is>
      </c>
      <c r="E24" s="10" t="inlineStr">
        <is>
          <t>방어</t>
        </is>
      </c>
      <c r="F24" s="10" t="inlineStr">
        <is>
          <t>특수(중첩)</t>
        </is>
      </c>
      <c r="G24" s="38" t="inlineStr">
        <is>
          <t>목숨 +1</t>
        </is>
      </c>
      <c r="H24" s="26" t="inlineStr">
        <is>
          <t>목숨 +1</t>
        </is>
      </c>
      <c r="I24" s="27" t="n">
        <v>3</v>
      </c>
      <c r="J24" s="38" t="n"/>
      <c r="K24" s="38" t="inlineStr">
        <is>
          <t>유령 + 1UP</t>
        </is>
      </c>
      <c r="L24" s="38" t="inlineStr">
        <is>
          <t>기존 상점</t>
        </is>
      </c>
      <c r="M24" s="10" t="inlineStr">
        <is>
          <t>하</t>
        </is>
      </c>
      <c r="N24" s="38" t="n"/>
    </row>
    <row r="25">
      <c r="A25" s="10" t="inlineStr">
        <is>
          <t>M01</t>
        </is>
      </c>
      <c r="B25" s="38" t="inlineStr">
        <is>
          <t>이동 속도</t>
        </is>
      </c>
      <c r="C25" s="38" t="inlineStr">
        <is>
          <t>MOVE SPEED</t>
        </is>
      </c>
      <c r="D25" s="10" t="inlineStr">
        <is>
          <t>일반</t>
        </is>
      </c>
      <c r="E25" s="10" t="inlineStr">
        <is>
          <t>이동</t>
        </is>
      </c>
      <c r="F25" s="10" t="inlineStr">
        <is>
          <t>능력치</t>
        </is>
      </c>
      <c r="G25" s="38" t="inlineStr">
        <is>
          <t>달리는 속도 증가</t>
        </is>
      </c>
      <c r="H25" s="26" t="inlineStr">
        <is>
          <t>+0.45px/프레임</t>
        </is>
      </c>
      <c r="I25" s="27" t="n">
        <v>3</v>
      </c>
      <c r="J25" s="38" t="n"/>
      <c r="K25" s="38" t="inlineStr">
        <is>
          <t>신발</t>
        </is>
      </c>
      <c r="L25" s="38" t="inlineStr">
        <is>
          <t>기존 상점</t>
        </is>
      </c>
      <c r="M25" s="10" t="inlineStr">
        <is>
          <t>하</t>
        </is>
      </c>
      <c r="N25" s="38" t="n"/>
    </row>
    <row r="26">
      <c r="A26" s="10" t="inlineStr">
        <is>
          <t>M02</t>
        </is>
      </c>
      <c r="B26" s="38" t="inlineStr">
        <is>
          <t>점프력</t>
        </is>
      </c>
      <c r="C26" s="38" t="inlineStr">
        <is>
          <t>JUMP UP</t>
        </is>
      </c>
      <c r="D26" s="10" t="inlineStr">
        <is>
          <t>일반</t>
        </is>
      </c>
      <c r="E26" s="10" t="inlineStr">
        <is>
          <t>이동</t>
        </is>
      </c>
      <c r="F26" s="10" t="inlineStr">
        <is>
          <t>능력치</t>
        </is>
      </c>
      <c r="G26" s="38" t="inlineStr">
        <is>
          <t>점프 높이 증가</t>
        </is>
      </c>
      <c r="H26" s="26" t="inlineStr">
        <is>
          <t>점프 +8%</t>
        </is>
      </c>
      <c r="I26" s="27" t="n">
        <v>2</v>
      </c>
      <c r="J26" s="38" t="n"/>
      <c r="K26" s="38" t="inlineStr">
        <is>
          <t>위 화살표</t>
        </is>
      </c>
      <c r="L26" s="38" t="inlineStr">
        <is>
          <t>기획 추가</t>
        </is>
      </c>
      <c r="M26" s="10" t="inlineStr">
        <is>
          <t>하</t>
        </is>
      </c>
      <c r="N26" s="38" t="inlineStr">
        <is>
          <t>발판 배치를 건너뛰지 않도록 2단계까지만</t>
        </is>
      </c>
    </row>
    <row r="27">
      <c r="A27" s="10" t="inlineStr">
        <is>
          <t>M03</t>
        </is>
      </c>
      <c r="B27" s="38" t="inlineStr">
        <is>
          <t>더블 점프</t>
        </is>
      </c>
      <c r="C27" s="38" t="inlineStr">
        <is>
          <t>DOUBLE JUMP</t>
        </is>
      </c>
      <c r="D27" s="10" t="inlineStr">
        <is>
          <t>희귀</t>
        </is>
      </c>
      <c r="E27" s="10" t="inlineStr">
        <is>
          <t>이동</t>
        </is>
      </c>
      <c r="F27" s="10" t="inlineStr">
        <is>
          <t>특수(중첩)</t>
        </is>
      </c>
      <c r="G27" s="38" t="inlineStr">
        <is>
          <t>공중에서 한 번 더 점프 (2단계 = 삼단 점프)</t>
        </is>
      </c>
      <c r="H27" s="26" t="inlineStr">
        <is>
          <t>공중 점프 +1</t>
        </is>
      </c>
      <c r="I27" s="27" t="n">
        <v>2</v>
      </c>
      <c r="J27" s="38" t="n"/>
      <c r="K27" s="38" t="inlineStr">
        <is>
          <t>구름 위 화살표</t>
        </is>
      </c>
      <c r="L27" s="38" t="inlineStr">
        <is>
          <t>기존 상점</t>
        </is>
      </c>
      <c r="M27" s="10" t="inlineStr">
        <is>
          <t>하</t>
        </is>
      </c>
      <c r="N27" s="38" t="inlineStr">
        <is>
          <t>기존 이단 점프(최대 1)를 2로 0.4.2: 등 뒤에 작은 박쥐 날개 (단계마다 한 쌍) / 0.4.7: 게임 표기 AIR JUMP -&gt; DOUBLE JUMP (더블 점프 카드가 없는 줄 알아서)</t>
        </is>
      </c>
    </row>
    <row r="28">
      <c r="A28" s="10" t="inlineStr">
        <is>
          <t>M04</t>
        </is>
      </c>
      <c r="B28" s="38" t="inlineStr">
        <is>
          <t>유령 부유</t>
        </is>
      </c>
      <c r="C28" s="38" t="inlineStr">
        <is>
          <t>FLOAT</t>
        </is>
      </c>
      <c r="D28" s="10" t="inlineStr">
        <is>
          <t>희귀</t>
        </is>
      </c>
      <c r="E28" s="10" t="inlineStr">
        <is>
          <t>이동</t>
        </is>
      </c>
      <c r="F28" s="10" t="inlineStr">
        <is>
          <t>특수</t>
        </is>
      </c>
      <c r="G28" s="38" t="inlineStr">
        <is>
          <t>공중에서 점프 키를 누르고 있으면 천천히 떨어짐</t>
        </is>
      </c>
      <c r="H28" s="26" t="inlineStr">
        <is>
          <t>낙하 -50%</t>
        </is>
      </c>
      <c r="I28" s="27" t="n">
        <v>1</v>
      </c>
      <c r="J28" s="38" t="n"/>
      <c r="K28" s="38" t="inlineStr">
        <is>
          <t>깃털 / 흔들리는 꼬리</t>
        </is>
      </c>
      <c r="L28" s="38" t="inlineStr">
        <is>
          <t>기획 추가</t>
        </is>
      </c>
      <c r="M28" s="10" t="inlineStr">
        <is>
          <t>중</t>
        </is>
      </c>
      <c r="N28" s="38" t="inlineStr">
        <is>
          <t>겐가 테마에 맞는 이동기</t>
        </is>
      </c>
    </row>
    <row r="29">
      <c r="A29" s="10" t="inlineStr">
        <is>
          <t>S01</t>
        </is>
      </c>
      <c r="B29" s="2" t="inlineStr">
        <is>
          <t>대시 거리</t>
        </is>
      </c>
      <c r="C29" s="38" t="inlineStr">
        <is>
          <t>DASH RANGE</t>
        </is>
      </c>
      <c r="D29" s="10" t="inlineStr">
        <is>
          <t>일반</t>
        </is>
      </c>
      <c r="E29" s="10" t="inlineStr">
        <is>
          <t>대시</t>
        </is>
      </c>
      <c r="F29" s="10" t="inlineStr">
        <is>
          <t>능력치</t>
        </is>
      </c>
      <c r="G29" s="38" t="inlineStr">
        <is>
          <t>대시로 이동하는 거리 증가</t>
        </is>
      </c>
      <c r="H29" s="26" t="inlineStr">
        <is>
          <t>거리 +25%</t>
        </is>
      </c>
      <c r="I29" s="27" t="n">
        <v>2</v>
      </c>
      <c r="J29" s="38" t="n"/>
      <c r="K29" s="38" t="inlineStr">
        <is>
          <t>긴 잔상</t>
        </is>
      </c>
      <c r="L29" s="2" t="inlineStr">
        <is>
          <t>사용자</t>
        </is>
      </c>
      <c r="M29" s="10" t="inlineStr">
        <is>
          <t>하</t>
        </is>
      </c>
      <c r="N29" s="38" t="n"/>
    </row>
    <row r="30">
      <c r="A30" s="10" t="inlineStr">
        <is>
          <t>S02</t>
        </is>
      </c>
      <c r="B30" s="38" t="inlineStr">
        <is>
          <t>대시 충전</t>
        </is>
      </c>
      <c r="C30" s="38" t="inlineStr">
        <is>
          <t>DASH RECHARGE</t>
        </is>
      </c>
      <c r="D30" s="10" t="inlineStr">
        <is>
          <t>일반</t>
        </is>
      </c>
      <c r="E30" s="10" t="inlineStr">
        <is>
          <t>대시</t>
        </is>
      </c>
      <c r="F30" s="10" t="inlineStr">
        <is>
          <t>능력치</t>
        </is>
      </c>
      <c r="G30" s="38" t="inlineStr">
        <is>
          <t>빈 대시 칸이 다시 차는 시간 감소</t>
        </is>
      </c>
      <c r="H30" s="26" t="inlineStr">
        <is>
          <t>충전 -20%</t>
        </is>
      </c>
      <c r="I30" s="27" t="n">
        <v>2</v>
      </c>
      <c r="J30" s="38" t="n"/>
      <c r="K30" s="38" t="inlineStr">
        <is>
          <t>시계 + 칸</t>
        </is>
      </c>
      <c r="L30" s="38" t="inlineStr">
        <is>
          <t>기획 추가</t>
        </is>
      </c>
      <c r="M30" s="10" t="inlineStr">
        <is>
          <t>하</t>
        </is>
      </c>
      <c r="N30" s="38" t="inlineStr">
        <is>
          <t>기본 충전 시간 약 0.6초</t>
        </is>
      </c>
    </row>
    <row r="31" ht="27" customHeight="1" s="37">
      <c r="A31" s="10" t="inlineStr">
        <is>
          <t>S03</t>
        </is>
      </c>
      <c r="B31" s="2" t="inlineStr">
        <is>
          <t>대시 칸 추가</t>
        </is>
      </c>
      <c r="C31" s="38" t="inlineStr">
        <is>
          <t>DASH CHARGE</t>
        </is>
      </c>
      <c r="D31" s="10" t="inlineStr">
        <is>
          <t>희귀</t>
        </is>
      </c>
      <c r="E31" s="10" t="inlineStr">
        <is>
          <t>대시</t>
        </is>
      </c>
      <c r="F31" s="10" t="inlineStr">
        <is>
          <t>특수(중첩)</t>
        </is>
      </c>
      <c r="G31" s="38" t="inlineStr">
        <is>
          <t>대시 칸 +1 (연속으로 대시 가능, HUD에 칸 표시). 공중 대시 횟수도 +1</t>
        </is>
      </c>
      <c r="H31" s="26" t="inlineStr">
        <is>
          <t>대시 칸 +1</t>
        </is>
      </c>
      <c r="I31" s="27" t="n">
        <v>2</v>
      </c>
      <c r="J31" s="38" t="n"/>
      <c r="K31" s="38" t="inlineStr">
        <is>
          <t>칸 3개</t>
        </is>
      </c>
      <c r="L31" s="2" t="inlineStr">
        <is>
          <t>사용자</t>
        </is>
      </c>
      <c r="M31" s="10" t="inlineStr">
        <is>
          <t>중</t>
        </is>
      </c>
      <c r="N31" s="38" t="inlineStr">
        <is>
          <t>사용자: 대시 가능 칸 + 횟수 증가. 기본 1칸 → 최대 3칸. 중첩 가능한 특수 능력 / 0.4.3: 공중에서는 연속 대시가 안 되던 문제 -&gt; 공중 대시 횟수 = 1 + 공중 대시 + 대시 칸</t>
        </is>
      </c>
    </row>
    <row r="32">
      <c r="A32" s="10" t="inlineStr">
        <is>
          <t>S04</t>
        </is>
      </c>
      <c r="B32" s="38" t="inlineStr">
        <is>
          <t>공중 대시</t>
        </is>
      </c>
      <c r="C32" s="38" t="inlineStr">
        <is>
          <t>AIR DASH</t>
        </is>
      </c>
      <c r="D32" s="10" t="inlineStr">
        <is>
          <t>희귀</t>
        </is>
      </c>
      <c r="E32" s="10" t="inlineStr">
        <is>
          <t>대시</t>
        </is>
      </c>
      <c r="F32" s="10" t="inlineStr">
        <is>
          <t>특수</t>
        </is>
      </c>
      <c r="G32" s="38" t="inlineStr">
        <is>
          <t>착지 전 공중 대시 가능 횟수 +1</t>
        </is>
      </c>
      <c r="H32" s="26" t="inlineStr">
        <is>
          <t>공중 +1</t>
        </is>
      </c>
      <c r="I32" s="27" t="n">
        <v>1</v>
      </c>
      <c r="J32" s="38" t="n"/>
      <c r="K32" s="38" t="inlineStr">
        <is>
          <t>날개 + 잔상</t>
        </is>
      </c>
      <c r="L32" s="38" t="inlineStr">
        <is>
          <t>기획 추가</t>
        </is>
      </c>
      <c r="M32" s="10" t="inlineStr">
        <is>
          <t>하</t>
        </is>
      </c>
      <c r="N32" s="38" t="inlineStr">
        <is>
          <t>대시 칸과 별개 제한 (지금은 공중 1번)</t>
        </is>
      </c>
    </row>
    <row r="33" ht="27" customHeight="1" s="37">
      <c r="A33" s="10" t="inlineStr">
        <is>
          <t>S05</t>
        </is>
      </c>
      <c r="B33" s="2" t="inlineStr">
        <is>
          <t>무적 대시</t>
        </is>
      </c>
      <c r="C33" s="38" t="inlineStr">
        <is>
          <t>PHASE DASH</t>
        </is>
      </c>
      <c r="D33" s="10" t="inlineStr">
        <is>
          <t>영웅</t>
        </is>
      </c>
      <c r="E33" s="10" t="inlineStr">
        <is>
          <t>대시</t>
        </is>
      </c>
      <c r="F33" s="10" t="inlineStr">
        <is>
          <t>특수</t>
        </is>
      </c>
      <c r="G33" s="38" t="inlineStr">
        <is>
          <t>대시하는 동안 모든 피해를 무시하고 적을 통과</t>
        </is>
      </c>
      <c r="H33" s="26" t="inlineStr">
        <is>
          <t>대시 무적</t>
        </is>
      </c>
      <c r="I33" s="27" t="n">
        <v>1</v>
      </c>
      <c r="J33" s="38" t="n"/>
      <c r="K33" s="38" t="inlineStr">
        <is>
          <t>반투명 초록 유령</t>
        </is>
      </c>
      <c r="L33" s="2" t="inlineStr">
        <is>
          <t>사용자</t>
        </is>
      </c>
      <c r="M33" s="10" t="inlineStr">
        <is>
          <t>하</t>
        </is>
      </c>
      <c r="N33" s="38" t="inlineStr">
        <is>
          <t>확정: 기본 대시는 무적이 아니다. 지금 코드의 기본 무적을 이 카드로 옮긴다 / 0.2.3: 대시 중 반투명 + 초록 유령빛·잔상으로 무적 상태 표시</t>
        </is>
      </c>
    </row>
    <row r="34">
      <c r="A34" s="10" t="inlineStr">
        <is>
          <t>S06</t>
        </is>
      </c>
      <c r="B34" s="38" t="inlineStr">
        <is>
          <t>그림자 돌진</t>
        </is>
      </c>
      <c r="C34" s="38" t="inlineStr">
        <is>
          <t>SHADOW RUSH</t>
        </is>
      </c>
      <c r="D34" s="10" t="inlineStr">
        <is>
          <t>영웅</t>
        </is>
      </c>
      <c r="E34" s="10" t="inlineStr">
        <is>
          <t>대시</t>
        </is>
      </c>
      <c r="F34" s="10" t="inlineStr">
        <is>
          <t>특수</t>
        </is>
      </c>
      <c r="G34" s="38" t="inlineStr">
        <is>
          <t>대시로 통과한 적에게 피해 (공격력 x2). 대시 중 몸 앞에 초승달 칼날이 펼쳐지고, 그만큼 앞쪽 22px 도 벤다</t>
        </is>
      </c>
      <c r="H34" s="26" t="inlineStr">
        <is>
          <t>돌진 피해</t>
        </is>
      </c>
      <c r="I34" s="27" t="n">
        <v>1</v>
      </c>
      <c r="J34" s="38" t="n"/>
      <c r="K34" s="38" t="inlineStr">
        <is>
          <t>초승달 칼날</t>
        </is>
      </c>
      <c r="L34" s="38" t="inlineStr">
        <is>
          <t>기획 추가</t>
        </is>
      </c>
      <c r="M34" s="10" t="inlineStr">
        <is>
          <t>중</t>
        </is>
      </c>
      <c r="N34" s="38" t="inlineStr">
        <is>
          <t>무적 대시와 시너지 (선행 조건은 두지 않음). 0.3.1: 칼날 연출 + 앞쪽 판정 추가</t>
        </is>
      </c>
    </row>
    <row r="35" ht="27" customHeight="1" s="37">
      <c r="A35" s="10" t="inlineStr">
        <is>
          <t>S07</t>
        </is>
      </c>
      <c r="B35" s="38" t="inlineStr">
        <is>
          <t>잔상 폭발</t>
        </is>
      </c>
      <c r="C35" s="38" t="inlineStr">
        <is>
          <t>AFTERIMAGE</t>
        </is>
      </c>
      <c r="D35" s="10" t="inlineStr">
        <is>
          <t>전설</t>
        </is>
      </c>
      <c r="E35" s="10" t="inlineStr">
        <is>
          <t>대시</t>
        </is>
      </c>
      <c r="F35" s="10" t="inlineStr">
        <is>
          <t>특수</t>
        </is>
      </c>
      <c r="G35" s="38" t="inlineStr">
        <is>
          <t>대시를 시작한 자리에 잔상이 남고 0.5초 뒤 폭발 (공격력 x3)</t>
        </is>
      </c>
      <c r="H35" s="26" t="inlineStr">
        <is>
          <t>잔상 폭발</t>
        </is>
      </c>
      <c r="I35" s="27" t="n">
        <v>1</v>
      </c>
      <c r="J35" s="38" t="n"/>
      <c r="K35" s="38" t="inlineStr">
        <is>
          <t>유령 실루엣 + 별</t>
        </is>
      </c>
      <c r="L35" s="38" t="inlineStr">
        <is>
          <t>기획 추가</t>
        </is>
      </c>
      <c r="M35" s="10" t="inlineStr">
        <is>
          <t>중</t>
        </is>
      </c>
      <c r="N35" s="38" t="inlineStr">
        <is>
          <t>기존 대시 잔상 연출 재사용</t>
        </is>
      </c>
    </row>
    <row r="36">
      <c r="A36" s="10" t="inlineStr">
        <is>
          <t>U01</t>
        </is>
      </c>
      <c r="B36" s="38" t="inlineStr">
        <is>
          <t>게이지 충전</t>
        </is>
      </c>
      <c r="C36" s="38" t="inlineStr">
        <is>
          <t>GAUGE UP</t>
        </is>
      </c>
      <c r="D36" s="10" t="inlineStr">
        <is>
          <t>일반</t>
        </is>
      </c>
      <c r="E36" s="10" t="inlineStr">
        <is>
          <t>필살기</t>
        </is>
      </c>
      <c r="F36" s="10" t="inlineStr">
        <is>
          <t>능력치</t>
        </is>
      </c>
      <c r="G36" s="38" t="inlineStr">
        <is>
          <t>필살기 게이지가 더 빨리 참</t>
        </is>
      </c>
      <c r="H36" s="26" t="inlineStr">
        <is>
          <t>충전 +20%</t>
        </is>
      </c>
      <c r="I36" s="27" t="n">
        <v>3</v>
      </c>
      <c r="J36" s="38" t="n"/>
      <c r="K36" s="38" t="inlineStr">
        <is>
          <t>게이지 막대 ↑</t>
        </is>
      </c>
      <c r="L36" s="38" t="inlineStr">
        <is>
          <t>기존 상점</t>
        </is>
      </c>
      <c r="M36" s="10" t="inlineStr">
        <is>
          <t>하</t>
        </is>
      </c>
      <c r="N36" s="38" t="inlineStr">
        <is>
          <t>기존 ULTIMATE POWER를 위력/충전으로 나눔</t>
        </is>
      </c>
    </row>
    <row r="37">
      <c r="A37" s="10" t="inlineStr">
        <is>
          <t>U02</t>
        </is>
      </c>
      <c r="B37" s="38" t="inlineStr">
        <is>
          <t>필살기 위력</t>
        </is>
      </c>
      <c r="C37" s="38" t="inlineStr">
        <is>
          <t>ULT POWER</t>
        </is>
      </c>
      <c r="D37" s="10" t="inlineStr">
        <is>
          <t>희귀</t>
        </is>
      </c>
      <c r="E37" s="10" t="inlineStr">
        <is>
          <t>필살기</t>
        </is>
      </c>
      <c r="F37" s="10" t="inlineStr">
        <is>
          <t>능력치</t>
        </is>
      </c>
      <c r="G37" s="38" t="inlineStr">
        <is>
          <t>장착한 필살기의 피해 증가</t>
        </is>
      </c>
      <c r="H37" s="26" t="inlineStr">
        <is>
          <t>피해 +30%</t>
        </is>
      </c>
      <c r="I37" s="27" t="n">
        <v>3</v>
      </c>
      <c r="J37" s="38" t="n"/>
      <c r="K37" s="38" t="inlineStr">
        <is>
          <t>폭발 아이콘</t>
        </is>
      </c>
      <c r="L37" s="38" t="inlineStr">
        <is>
          <t>기존 상점</t>
        </is>
      </c>
      <c r="M37" s="10" t="inlineStr">
        <is>
          <t>하</t>
        </is>
      </c>
      <c r="N37" s="38" t="n"/>
    </row>
    <row r="38">
      <c r="A38" s="10" t="inlineStr">
        <is>
          <t>U03</t>
        </is>
      </c>
      <c r="B38" s="38" t="inlineStr">
        <is>
          <t>시작 게이지</t>
        </is>
      </c>
      <c r="C38" s="38" t="inlineStr">
        <is>
          <t>HEAD START</t>
        </is>
      </c>
      <c r="D38" s="10" t="inlineStr">
        <is>
          <t>일반</t>
        </is>
      </c>
      <c r="E38" s="10" t="inlineStr">
        <is>
          <t>필살기</t>
        </is>
      </c>
      <c r="F38" s="10" t="inlineStr">
        <is>
          <t>특수</t>
        </is>
      </c>
      <c r="G38" s="38" t="inlineStr">
        <is>
          <t>스테이지를 시작할 때 게이지 30%를 채우고 시작</t>
        </is>
      </c>
      <c r="H38" s="26" t="inlineStr">
        <is>
          <t>시작 30%</t>
        </is>
      </c>
      <c r="I38" s="27" t="n">
        <v>1</v>
      </c>
      <c r="J38" s="38" t="n"/>
      <c r="K38" s="38" t="inlineStr">
        <is>
          <t>게이지 1/3</t>
        </is>
      </c>
      <c r="L38" s="38" t="inlineStr">
        <is>
          <t>기획 추가</t>
        </is>
      </c>
      <c r="M38" s="10" t="inlineStr">
        <is>
          <t>하</t>
        </is>
      </c>
      <c r="N38" s="38" t="n"/>
    </row>
    <row r="39" ht="27" customHeight="1" s="37">
      <c r="A39" s="10" t="inlineStr">
        <is>
          <t>U10</t>
        </is>
      </c>
      <c r="B39" s="2" t="inlineStr">
        <is>
          <t>필살기: 섀도우 레인</t>
        </is>
      </c>
      <c r="C39" s="38" t="inlineStr">
        <is>
          <t>SHADOW RAIN</t>
        </is>
      </c>
      <c r="D39" s="10" t="inlineStr">
        <is>
          <t>희귀</t>
        </is>
      </c>
      <c r="E39" s="10" t="inlineStr">
        <is>
          <t>필살기</t>
        </is>
      </c>
      <c r="F39" s="10" t="inlineStr">
        <is>
          <t>특수</t>
        </is>
      </c>
      <c r="G39" s="38" t="inlineStr">
        <is>
          <t>3초 동안 화면 위에서 그림자 탄이 적에게 쏟아짐</t>
        </is>
      </c>
      <c r="H39" s="26" t="inlineStr">
        <is>
          <t>필살기 교체</t>
        </is>
      </c>
      <c r="I39" s="27" t="n">
        <v>1</v>
      </c>
      <c r="J39" s="38" t="inlineStr">
        <is>
          <t>가진 필살기보다 높은 등급</t>
        </is>
      </c>
      <c r="K39" s="38" t="inlineStr">
        <is>
          <t>떨어지는 공</t>
        </is>
      </c>
      <c r="L39" s="2" t="inlineStr">
        <is>
          <t>사용자</t>
        </is>
      </c>
      <c r="M39" s="10" t="inlineStr">
        <is>
          <t>중</t>
        </is>
      </c>
      <c r="N39" s="38" t="inlineStr">
        <is>
          <t>필살기 시트 참고</t>
        </is>
      </c>
    </row>
    <row r="40" ht="27" customHeight="1" s="37">
      <c r="A40" s="10" t="inlineStr">
        <is>
          <t>U11</t>
        </is>
      </c>
      <c r="B40" s="2" t="inlineStr">
        <is>
          <t>필살기: 블랙홀</t>
        </is>
      </c>
      <c r="C40" s="38" t="inlineStr">
        <is>
          <t>BLACK HOLE</t>
        </is>
      </c>
      <c r="D40" s="10" t="inlineStr">
        <is>
          <t>영웅</t>
        </is>
      </c>
      <c r="E40" s="10" t="inlineStr">
        <is>
          <t>필살기</t>
        </is>
      </c>
      <c r="F40" s="10" t="inlineStr">
        <is>
          <t>특수</t>
        </is>
      </c>
      <c r="G40" s="38" t="inlineStr">
        <is>
          <t>앞쪽에 블랙홀을 4초 동안 열어 적을 끌어모으며 계속 피해, 적 투사체 흡수</t>
        </is>
      </c>
      <c r="H40" s="26" t="inlineStr">
        <is>
          <t>필살기 교체</t>
        </is>
      </c>
      <c r="I40" s="27" t="n">
        <v>1</v>
      </c>
      <c r="J40" s="38" t="inlineStr">
        <is>
          <t>가진 필살기보다 높은 등급</t>
        </is>
      </c>
      <c r="K40" s="38" t="inlineStr">
        <is>
          <t>소용돌이</t>
        </is>
      </c>
      <c r="L40" s="2" t="inlineStr">
        <is>
          <t>사용자</t>
        </is>
      </c>
      <c r="M40" s="10" t="inlineStr">
        <is>
          <t>상</t>
        </is>
      </c>
      <c r="N40" s="38" t="inlineStr">
        <is>
          <t>필살기 시트 참고</t>
        </is>
      </c>
    </row>
    <row r="41" ht="27" customHeight="1" s="37">
      <c r="A41" s="10" t="inlineStr">
        <is>
          <t>U12</t>
        </is>
      </c>
      <c r="B41" s="2" t="inlineStr">
        <is>
          <t>필살기: 나이트메어</t>
        </is>
      </c>
      <c r="C41" s="38" t="inlineStr">
        <is>
          <t>NIGHTMARE</t>
        </is>
      </c>
      <c r="D41" s="10" t="inlineStr">
        <is>
          <t>전설</t>
        </is>
      </c>
      <c r="E41" s="10" t="inlineStr">
        <is>
          <t>필살기</t>
        </is>
      </c>
      <c r="F41" s="10" t="inlineStr">
        <is>
          <t>특수</t>
        </is>
      </c>
      <c r="G41" s="38" t="inlineStr">
        <is>
          <t>4초 동안 적과 투사체를 멈추고, 그동안 무적 + 공격 피해 2배</t>
        </is>
      </c>
      <c r="H41" s="26" t="inlineStr">
        <is>
          <t>필살기 교체</t>
        </is>
      </c>
      <c r="I41" s="27" t="n">
        <v>1</v>
      </c>
      <c r="J41" s="38" t="inlineStr">
        <is>
          <t>가진 필살기보다 높은 등급</t>
        </is>
      </c>
      <c r="K41" s="38" t="inlineStr">
        <is>
          <t>멈춘 시계 + 눈</t>
        </is>
      </c>
      <c r="L41" s="2" t="inlineStr">
        <is>
          <t>사용자</t>
        </is>
      </c>
      <c r="M41" s="10" t="inlineStr">
        <is>
          <t>상</t>
        </is>
      </c>
      <c r="N41" s="38" t="inlineStr">
        <is>
          <t>필살기 시트 참고</t>
        </is>
      </c>
    </row>
    <row r="42">
      <c r="A42" s="10" t="inlineStr">
        <is>
          <t>X01</t>
        </is>
      </c>
      <c r="B42" s="38" t="inlineStr">
        <is>
          <t>코인 자석</t>
        </is>
      </c>
      <c r="C42" s="38" t="inlineStr">
        <is>
          <t>MAGNET</t>
        </is>
      </c>
      <c r="D42" s="10" t="inlineStr">
        <is>
          <t>일반</t>
        </is>
      </c>
      <c r="E42" s="10" t="inlineStr">
        <is>
          <t>특수</t>
        </is>
      </c>
      <c r="F42" s="10" t="inlineStr">
        <is>
          <t>능력치</t>
        </is>
      </c>
      <c r="G42" s="38" t="inlineStr">
        <is>
          <t>코인을 끌어당기는 범위 증가</t>
        </is>
      </c>
      <c r="H42" s="26" t="inlineStr">
        <is>
          <t>범위 +60px</t>
        </is>
      </c>
      <c r="I42" s="27" t="n">
        <v>2</v>
      </c>
      <c r="J42" s="38" t="n"/>
      <c r="K42" s="38" t="inlineStr">
        <is>
          <t>자석</t>
        </is>
      </c>
      <c r="L42" s="38" t="inlineStr">
        <is>
          <t>기획 추가</t>
        </is>
      </c>
      <c r="M42" s="10" t="inlineStr">
        <is>
          <t>하</t>
        </is>
      </c>
      <c r="N42" s="38" t="n"/>
    </row>
    <row r="43">
      <c r="A43" s="10" t="inlineStr">
        <is>
          <t>X02</t>
        </is>
      </c>
      <c r="B43" s="38" t="inlineStr">
        <is>
          <t>경험치 증가</t>
        </is>
      </c>
      <c r="C43" s="38" t="inlineStr">
        <is>
          <t>XP BOOST</t>
        </is>
      </c>
      <c r="D43" s="10" t="inlineStr">
        <is>
          <t>일반</t>
        </is>
      </c>
      <c r="E43" s="10" t="inlineStr">
        <is>
          <t>특수</t>
        </is>
      </c>
      <c r="F43" s="10" t="inlineStr">
        <is>
          <t>능력치</t>
        </is>
      </c>
      <c r="G43" s="38" t="inlineStr">
        <is>
          <t>얻는 경험치 증가</t>
        </is>
      </c>
      <c r="H43" s="26" t="inlineStr">
        <is>
          <t>경험치 +20%</t>
        </is>
      </c>
      <c r="I43" s="27" t="n">
        <v>3</v>
      </c>
      <c r="J43" s="38" t="n"/>
      <c r="K43" s="38" t="inlineStr">
        <is>
          <t>책 / XP</t>
        </is>
      </c>
      <c r="L43" s="38" t="inlineStr">
        <is>
          <t>기획 추가</t>
        </is>
      </c>
      <c r="M43" s="10" t="inlineStr">
        <is>
          <t>하</t>
        </is>
      </c>
      <c r="N43" s="38" t="n"/>
    </row>
    <row r="44">
      <c r="A44" s="10" t="inlineStr">
        <is>
          <t>X03</t>
        </is>
      </c>
      <c r="B44" s="38" t="inlineStr">
        <is>
          <t>콤보 유지</t>
        </is>
      </c>
      <c r="C44" s="38" t="inlineStr">
        <is>
          <t>COMBO KEEP</t>
        </is>
      </c>
      <c r="D44" s="10" t="inlineStr">
        <is>
          <t>일반</t>
        </is>
      </c>
      <c r="E44" s="10" t="inlineStr">
        <is>
          <t>특수</t>
        </is>
      </c>
      <c r="F44" s="10" t="inlineStr">
        <is>
          <t>특수</t>
        </is>
      </c>
      <c r="G44" s="38" t="inlineStr">
        <is>
          <t>콤보가 끊기기까지의 시간 증가</t>
        </is>
      </c>
      <c r="H44" s="26" t="inlineStr">
        <is>
          <t>시간 +50%</t>
        </is>
      </c>
      <c r="I44" s="27" t="n">
        <v>1</v>
      </c>
      <c r="J44" s="38" t="n"/>
      <c r="K44" s="38" t="inlineStr">
        <is>
          <t>x2 글자</t>
        </is>
      </c>
      <c r="L44" s="38" t="inlineStr">
        <is>
          <t>기획 추가</t>
        </is>
      </c>
      <c r="M44" s="10" t="inlineStr">
        <is>
          <t>하</t>
        </is>
      </c>
      <c r="N44" s="38" t="n"/>
    </row>
    <row r="45">
      <c r="A45" s="10" t="inlineStr">
        <is>
          <t>X04</t>
        </is>
      </c>
      <c r="B45" s="38" t="inlineStr">
        <is>
          <t>탐욕</t>
        </is>
      </c>
      <c r="C45" s="38" t="inlineStr">
        <is>
          <t>GREED</t>
        </is>
      </c>
      <c r="D45" s="10" t="inlineStr">
        <is>
          <t>희귀</t>
        </is>
      </c>
      <c r="E45" s="10" t="inlineStr">
        <is>
          <t>특수</t>
        </is>
      </c>
      <c r="F45" s="10" t="inlineStr">
        <is>
          <t>능력치</t>
        </is>
      </c>
      <c r="G45" s="38" t="inlineStr">
        <is>
          <t>코인 획득량 증가</t>
        </is>
      </c>
      <c r="H45" s="26" t="inlineStr">
        <is>
          <t>코인 +25%</t>
        </is>
      </c>
      <c r="I45" s="27" t="n">
        <v>2</v>
      </c>
      <c r="J45" s="38" t="n"/>
      <c r="K45" s="38" t="inlineStr">
        <is>
          <t>코인 더미</t>
        </is>
      </c>
      <c r="L45" s="38" t="inlineStr">
        <is>
          <t>기획 추가</t>
        </is>
      </c>
      <c r="M45" s="10" t="inlineStr">
        <is>
          <t>하</t>
        </is>
      </c>
      <c r="N45" s="38" t="inlineStr">
        <is>
          <t>상점 뽑기 횟수와 직결</t>
        </is>
      </c>
    </row>
    <row r="46">
      <c r="A46" s="10" t="inlineStr">
        <is>
          <t>X05</t>
        </is>
      </c>
      <c r="B46" s="38" t="inlineStr">
        <is>
          <t>행운</t>
        </is>
      </c>
      <c r="C46" s="38" t="inlineStr">
        <is>
          <t>LUCK</t>
        </is>
      </c>
      <c r="D46" s="10" t="inlineStr">
        <is>
          <t>희귀</t>
        </is>
      </c>
      <c r="E46" s="10" t="inlineStr">
        <is>
          <t>특수</t>
        </is>
      </c>
      <c r="F46" s="10" t="inlineStr">
        <is>
          <t>능력치</t>
        </is>
      </c>
      <c r="G46" s="38" t="inlineStr">
        <is>
          <t>카드가 높은 등급으로 나올 확률 증가</t>
        </is>
      </c>
      <c r="H46" s="26" t="inlineStr">
        <is>
          <t>등급 시트 보정</t>
        </is>
      </c>
      <c r="I46" s="27" t="n">
        <v>3</v>
      </c>
      <c r="J46" s="38" t="n"/>
      <c r="K46" s="38" t="inlineStr">
        <is>
          <t>네잎클로버</t>
        </is>
      </c>
      <c r="L46" s="38" t="inlineStr">
        <is>
          <t>기획 추가</t>
        </is>
      </c>
      <c r="M46" s="10" t="inlineStr">
        <is>
          <t>하</t>
        </is>
      </c>
      <c r="N46" s="38" t="n"/>
    </row>
    <row r="47" ht="27" customHeight="1" s="37">
      <c r="A47" s="10" t="inlineStr">
        <is>
          <t>X06</t>
        </is>
      </c>
      <c r="B47" s="38" t="inlineStr">
        <is>
          <t>다시 뽑기</t>
        </is>
      </c>
      <c r="C47" s="38" t="inlineStr">
        <is>
          <t>REROLL</t>
        </is>
      </c>
      <c r="D47" s="10" t="inlineStr">
        <is>
          <t>영웅</t>
        </is>
      </c>
      <c r="E47" s="10" t="inlineStr">
        <is>
          <t>특수</t>
        </is>
      </c>
      <c r="F47" s="10" t="inlineStr">
        <is>
          <t>특수(중첩)</t>
        </is>
      </c>
      <c r="G47" s="38" t="inlineStr">
        <is>
          <t>레벨업 화면에서 무료로 카드를 다시 뽑음 (스테이지마다 단계당 1회). 무료를 다 쓰면 코인으로 다시 뽑기</t>
        </is>
      </c>
      <c r="H47" s="26" t="inlineStr">
        <is>
          <t>무료 리롤 +1</t>
        </is>
      </c>
      <c r="I47" s="27" t="n">
        <v>2</v>
      </c>
      <c r="J47" s="38" t="n"/>
      <c r="K47" s="38" t="inlineStr">
        <is>
          <t>순환 화살표</t>
        </is>
      </c>
      <c r="L47" s="38" t="inlineStr">
        <is>
          <t>기획 추가</t>
        </is>
      </c>
      <c r="M47" s="10" t="inlineStr">
        <is>
          <t>중</t>
        </is>
      </c>
      <c r="N47" s="38" t="inlineStr">
        <is>
          <t>0.3.0: 누구나 코인으로 다시 뽑을 수 있게 되어(15코인부터 +10, '상점' 시트) 이 카드는 무료 횟수가 됨. 0.3.1: 다시 뽑기 키를 ↑ 에서 R 로</t>
        </is>
      </c>
    </row>
    <row r="48">
      <c r="A48" s="10" t="inlineStr">
        <is>
          <t>X07</t>
        </is>
      </c>
      <c r="B48" s="38" t="inlineStr">
        <is>
          <t>최후의 저항</t>
        </is>
      </c>
      <c r="C48" s="38" t="inlineStr">
        <is>
          <t>LAST STAND</t>
        </is>
      </c>
      <c r="D48" s="10" t="inlineStr">
        <is>
          <t>영웅</t>
        </is>
      </c>
      <c r="E48" s="10" t="inlineStr">
        <is>
          <t>특수</t>
        </is>
      </c>
      <c r="F48" s="10" t="inlineStr">
        <is>
          <t>특수</t>
        </is>
      </c>
      <c r="G48" s="38" t="inlineStr">
        <is>
          <t>하트가 1개 남았을 때 공격력 +50%, 연사 +30%</t>
        </is>
      </c>
      <c r="H48" s="26" t="inlineStr">
        <is>
          <t>위기 강화</t>
        </is>
      </c>
      <c r="I48" s="27" t="n">
        <v>1</v>
      </c>
      <c r="J48" s="38" t="n"/>
      <c r="K48" s="38" t="inlineStr">
        <is>
          <t>금 간 하트 + 불꽃</t>
        </is>
      </c>
      <c r="L48" s="38" t="inlineStr">
        <is>
          <t>기획 추가</t>
        </is>
      </c>
      <c r="M48" s="10" t="inlineStr">
        <is>
          <t>하</t>
        </is>
      </c>
      <c r="N48" s="38" t="n"/>
    </row>
    <row r="49">
      <c r="A49" s="10" t="inlineStr">
        <is>
          <t>X08</t>
        </is>
      </c>
      <c r="B49" s="38" t="inlineStr">
        <is>
          <t>넓은 선택</t>
        </is>
      </c>
      <c r="C49" s="38" t="inlineStr">
        <is>
          <t>MORE CHOICE</t>
        </is>
      </c>
      <c r="D49" s="10" t="inlineStr">
        <is>
          <t>영웅</t>
        </is>
      </c>
      <c r="E49" s="10" t="inlineStr">
        <is>
          <t>특수</t>
        </is>
      </c>
      <c r="F49" s="10" t="inlineStr">
        <is>
          <t>특수</t>
        </is>
      </c>
      <c r="G49" s="38" t="inlineStr">
        <is>
          <t>레벨업·보스 보너스·상점 뽑기에서 카드가 4장 나옴</t>
        </is>
      </c>
      <c r="H49" s="26" t="inlineStr">
        <is>
          <t>카드 +1장</t>
        </is>
      </c>
      <c r="I49" s="27" t="n">
        <v>1</v>
      </c>
      <c r="J49" s="38" t="n"/>
      <c r="K49" s="38" t="inlineStr">
        <is>
          <t>카드 4장</t>
        </is>
      </c>
      <c r="L49" s="38" t="inlineStr">
        <is>
          <t>기획 추가</t>
        </is>
      </c>
      <c r="M49" s="10" t="inlineStr">
        <is>
          <t>중</t>
        </is>
      </c>
      <c r="N49" s="38" t="inlineStr">
        <is>
          <t>0.3.1: 상점 뽑기에 적용되지 않던 버그 수정</t>
        </is>
      </c>
    </row>
    <row r="50" ht="27" customHeight="1" s="37">
      <c r="A50" s="10" t="inlineStr">
        <is>
          <t>X09</t>
        </is>
      </c>
      <c r="B50" s="38" t="inlineStr">
        <is>
          <t>그림자 분신</t>
        </is>
      </c>
      <c r="C50" s="38" t="inlineStr">
        <is>
          <t>FAMILIAR</t>
        </is>
      </c>
      <c r="D50" s="10" t="inlineStr">
        <is>
          <t>전설</t>
        </is>
      </c>
      <c r="E50" s="10" t="inlineStr">
        <is>
          <t>특수</t>
        </is>
      </c>
      <c r="F50" s="10" t="inlineStr">
        <is>
          <t>특수(중첩)</t>
        </is>
      </c>
      <c r="G50" s="38" t="inlineStr">
        <is>
          <t>작은 겐가 분신이 플레이어 뒤로 한 줄로 따라다니며 0.8초마다 플레이어와 같은 공격(같은 발 수, 같은 공 능력, 크기 70%·피해 50%)을 가장 가까운 적에게 쏜다. 최대 3마리</t>
        </is>
      </c>
      <c r="H50" s="26" t="inlineStr">
        <is>
          <t>분신 +1</t>
        </is>
      </c>
      <c r="I50" s="27" t="n">
        <v>3</v>
      </c>
      <c r="J50" s="38" t="n"/>
      <c r="K50" s="38" t="inlineStr">
        <is>
          <t>작은 유령</t>
        </is>
      </c>
      <c r="L50" s="38" t="inlineStr">
        <is>
          <t>기획 추가</t>
        </is>
      </c>
      <c r="M50" s="10" t="inlineStr">
        <is>
          <t>상</t>
        </is>
      </c>
      <c r="N50" s="38" t="inlineStr">
        <is>
          <t>0.4.6: 내 사격에 맞춰 쏘던 것(0.4.2)을 다시 0.8초 주기로. 여러 마리면 쏘는 때를 0.27초씩 엇갈림. 0.4.3: 최대 3마리</t>
        </is>
      </c>
    </row>
    <row r="51" ht="27" customHeight="1" s="37">
      <c r="A51" s="10" t="inlineStr">
        <is>
          <t>A17</t>
        </is>
      </c>
      <c r="B51" s="38" t="inlineStr">
        <is>
          <t>혈사포</t>
        </is>
      </c>
      <c r="C51" s="38" t="inlineStr">
        <is>
          <t>BRIMSTONE</t>
        </is>
      </c>
      <c r="D51" s="10" t="inlineStr">
        <is>
          <t>전설</t>
        </is>
      </c>
      <c r="E51" s="10" t="inlineStr">
        <is>
          <t>공격</t>
        </is>
      </c>
      <c r="F51" s="10" t="inlineStr">
        <is>
          <t>특수</t>
        </is>
      </c>
      <c r="G51" s="38" t="inlineStr">
        <is>
          <t>보통 공 대신 Z 를 0.75초 모았다가 떼면 화면 끝까지 굵은 핏빛 광선 0.5초. 모든 적 관통, 3프레임마다 공격력 x0.6 (약 6배)</t>
        </is>
      </c>
      <c r="H51" s="26" t="inlineStr">
        <is>
          <t>광선</t>
        </is>
      </c>
      <c r="I51" s="27" t="n">
        <v>1</v>
      </c>
      <c r="J51" s="38" t="inlineStr">
        <is>
          <t>차지샷·레이저 없음</t>
        </is>
      </c>
      <c r="K51" s="38" t="inlineStr">
        <is>
          <t>핏빛 광선 + 뿔</t>
        </is>
      </c>
      <c r="L51" s="38" t="inlineStr">
        <is>
          <t>사용자</t>
        </is>
      </c>
      <c r="M51" s="10" t="inlineStr">
        <is>
          <t>상</t>
        </is>
      </c>
      <c r="N51" s="38" t="inlineStr">
        <is>
          <t>아이작의 혈사포. 멀티샷 1발마다 광선 10px 굵게. 얻으면 머리에 빨간 뿔</t>
        </is>
      </c>
    </row>
    <row r="52" ht="27" customHeight="1" s="37">
      <c r="A52" s="10" t="inlineStr">
        <is>
          <t>A18</t>
        </is>
      </c>
      <c r="B52" s="38" t="inlineStr">
        <is>
          <t>레이저</t>
        </is>
      </c>
      <c r="C52" s="38" t="inlineStr">
        <is>
          <t>LASER</t>
        </is>
      </c>
      <c r="D52" s="10" t="inlineStr">
        <is>
          <t>영웅</t>
        </is>
      </c>
      <c r="E52" s="10" t="inlineStr">
        <is>
          <t>공격</t>
        </is>
      </c>
      <c r="F52" s="10" t="inlineStr">
        <is>
          <t>특수</t>
        </is>
      </c>
      <c r="G52" s="38" t="inlineStr">
        <is>
          <t>공이 2.6배 빠른 가는 레이저가 되어 모든 적을 관통. 피해 70%</t>
        </is>
      </c>
      <c r="H52" s="26" t="inlineStr">
        <is>
          <t>레이저</t>
        </is>
      </c>
      <c r="I52" s="27" t="n">
        <v>1</v>
      </c>
      <c r="J52" s="38" t="inlineStr">
        <is>
          <t>혈사포 없음</t>
        </is>
      </c>
      <c r="K52" s="38" t="inlineStr">
        <is>
          <t>분홍 빛줄기</t>
        </is>
      </c>
      <c r="L52" s="38" t="inlineStr">
        <is>
          <t>사용자</t>
        </is>
      </c>
      <c r="M52" s="10" t="inlineStr">
        <is>
          <t>중</t>
        </is>
      </c>
      <c r="N52" s="38" t="inlineStr">
        <is>
          <t>공 모양 변경</t>
        </is>
      </c>
    </row>
    <row r="53" ht="27" customHeight="1" s="37">
      <c r="A53" s="10" t="inlineStr">
        <is>
          <t>A19</t>
        </is>
      </c>
      <c r="B53" s="38" t="inlineStr">
        <is>
          <t>부메랑</t>
        </is>
      </c>
      <c r="C53" s="38" t="inlineStr">
        <is>
          <t>BOOMERANG</t>
        </is>
      </c>
      <c r="D53" s="10" t="inlineStr">
        <is>
          <t>희귀</t>
        </is>
      </c>
      <c r="E53" s="10" t="inlineStr">
        <is>
          <t>공격</t>
        </is>
      </c>
      <c r="F53" s="10" t="inlineStr">
        <is>
          <t>특수</t>
        </is>
      </c>
      <c r="G53" s="38" t="inlineStr">
        <is>
          <t>사거리 절반에서 돌아서 플레이어에게 돌아오며 다시 맞힘</t>
        </is>
      </c>
      <c r="H53" s="26" t="inlineStr">
        <is>
          <t>되돌아옴</t>
        </is>
      </c>
      <c r="I53" s="27" t="n">
        <v>1</v>
      </c>
      <c r="J53" s="38" t="n"/>
      <c r="K53" s="38" t="inlineStr">
        <is>
          <t>휘어진 화살표</t>
        </is>
      </c>
      <c r="L53" s="38" t="inlineStr">
        <is>
          <t>기획 추가</t>
        </is>
      </c>
      <c r="M53" s="10" t="inlineStr">
        <is>
          <t>중</t>
        </is>
      </c>
      <c r="N53" s="38" t="inlineStr">
        <is>
          <t>공 모양 변경</t>
        </is>
      </c>
    </row>
    <row r="54" ht="27" customHeight="1" s="37">
      <c r="A54" s="10" t="inlineStr">
        <is>
          <t>A20</t>
        </is>
      </c>
      <c r="B54" s="38" t="inlineStr">
        <is>
          <t>웨이브</t>
        </is>
      </c>
      <c r="C54" s="38" t="inlineStr">
        <is>
          <t>WAVE SHOT</t>
        </is>
      </c>
      <c r="D54" s="10" t="inlineStr">
        <is>
          <t>희귀</t>
        </is>
      </c>
      <c r="E54" s="10" t="inlineStr">
        <is>
          <t>공격</t>
        </is>
      </c>
      <c r="F54" s="10" t="inlineStr">
        <is>
          <t>특수</t>
        </is>
      </c>
      <c r="G54" s="38" t="inlineStr">
        <is>
          <t>공이 진행 방향 옆으로 사인파(진폭 16px)처럼 출렁임. 처음에는 위로 출렁이고, 벽·바닥 충돌은 출렁임을 뺀 중심선으로 판단</t>
        </is>
      </c>
      <c r="H54" s="26" t="inlineStr">
        <is>
          <t>출렁임</t>
        </is>
      </c>
      <c r="I54" s="27" t="n">
        <v>1</v>
      </c>
      <c r="J54" s="38" t="n"/>
      <c r="K54" s="38" t="inlineStr">
        <is>
          <t>물결</t>
        </is>
      </c>
      <c r="L54" s="38" t="inlineStr">
        <is>
          <t>기획 추가</t>
        </is>
      </c>
      <c r="M54" s="10" t="inlineStr">
        <is>
          <t>하</t>
        </is>
      </c>
      <c r="N54" s="38" t="inlineStr">
        <is>
          <t>공 모양 변경. 0.4.5: 바닥 가까이서 쏘면 출렁임 때문에 바로 땅에 닿아 사라지던 문제 수정</t>
        </is>
      </c>
    </row>
    <row r="55" ht="27" customHeight="1" s="37">
      <c r="A55" s="10" t="inlineStr">
        <is>
          <t>A21</t>
        </is>
      </c>
      <c r="B55" s="38" t="inlineStr">
        <is>
          <t>산탄</t>
        </is>
      </c>
      <c r="C55" s="38" t="inlineStr">
        <is>
          <t>SCATTER</t>
        </is>
      </c>
      <c r="D55" s="10" t="inlineStr">
        <is>
          <t>희귀</t>
        </is>
      </c>
      <c r="E55" s="10" t="inlineStr">
        <is>
          <t>공격</t>
        </is>
      </c>
      <c r="F55" s="10" t="inlineStr">
        <is>
          <t>특수</t>
        </is>
      </c>
      <c r="G55" s="38" t="inlineStr">
        <is>
          <t>공 +2발을 넓은 부채꼴로. 사거리 55%, 한 발 피해 80%</t>
        </is>
      </c>
      <c r="H55" s="26" t="inlineStr">
        <is>
          <t>+2발</t>
        </is>
      </c>
      <c r="I55" s="27" t="n">
        <v>1</v>
      </c>
      <c r="J55" s="38" t="n"/>
      <c r="K55" s="38" t="inlineStr">
        <is>
          <t>퍼지는 점</t>
        </is>
      </c>
      <c r="L55" s="38" t="inlineStr">
        <is>
          <t>기획 추가</t>
        </is>
      </c>
      <c r="M55" s="10" t="inlineStr">
        <is>
          <t>하</t>
        </is>
      </c>
      <c r="N55" s="38" t="inlineStr">
        <is>
          <t>근접 메타</t>
        </is>
      </c>
    </row>
    <row r="56" ht="27" customHeight="1" s="37">
      <c r="A56" s="10" t="inlineStr">
        <is>
          <t>A22</t>
        </is>
      </c>
      <c r="B56" s="38" t="inlineStr">
        <is>
          <t>무거운 공</t>
        </is>
      </c>
      <c r="C56" s="38" t="inlineStr">
        <is>
          <t>HEAVY SHOT</t>
        </is>
      </c>
      <c r="D56" s="10" t="inlineStr">
        <is>
          <t>희귀</t>
        </is>
      </c>
      <c r="E56" s="10" t="inlineStr">
        <is>
          <t>공격</t>
        </is>
      </c>
      <c r="F56" s="10" t="inlineStr">
        <is>
          <t>특수</t>
        </is>
      </c>
      <c r="G56" s="38" t="inlineStr">
        <is>
          <t>공 크기 1.45배, 피해 +40%, 연사 25% 느림</t>
        </is>
      </c>
      <c r="H56" s="26" t="inlineStr">
        <is>
          <t>크고 느림</t>
        </is>
      </c>
      <c r="I56" s="27" t="n">
        <v>1</v>
      </c>
      <c r="J56" s="38" t="n"/>
      <c r="K56" s="38" t="inlineStr">
        <is>
          <t>큰 공</t>
        </is>
      </c>
      <c r="L56" s="38" t="inlineStr">
        <is>
          <t>기획 추가</t>
        </is>
      </c>
      <c r="M56" s="10" t="inlineStr">
        <is>
          <t>하</t>
        </is>
      </c>
      <c r="N56" s="38" t="n"/>
    </row>
    <row r="57" ht="27" customHeight="1" s="37">
      <c r="A57" s="10" t="inlineStr">
        <is>
          <t>A23</t>
        </is>
      </c>
      <c r="B57" s="38" t="inlineStr">
        <is>
          <t>독</t>
        </is>
      </c>
      <c r="C57" s="38" t="inlineStr">
        <is>
          <t>POISON</t>
        </is>
      </c>
      <c r="D57" s="10" t="inlineStr">
        <is>
          <t>희귀</t>
        </is>
      </c>
      <c r="E57" s="10" t="inlineStr">
        <is>
          <t>공격</t>
        </is>
      </c>
      <c r="F57" s="10" t="inlineStr">
        <is>
          <t>특수</t>
        </is>
      </c>
      <c r="G57" s="38" t="inlineStr">
        <is>
          <t>맞은 적이 3초 동안 0.5초마다 그 피해의 25% (약 1.5배 더). 보스도 걸림</t>
        </is>
      </c>
      <c r="H57" s="26" t="inlineStr">
        <is>
          <t>지속 피해</t>
        </is>
      </c>
      <c r="I57" s="27" t="n">
        <v>1</v>
      </c>
      <c r="J57" s="38" t="n"/>
      <c r="K57" s="38" t="inlineStr">
        <is>
          <t>초록 방울</t>
        </is>
      </c>
      <c r="L57" s="38" t="inlineStr">
        <is>
          <t>기획 추가</t>
        </is>
      </c>
      <c r="M57" s="10" t="inlineStr">
        <is>
          <t>중</t>
        </is>
      </c>
      <c r="N57" s="38" t="inlineStr">
        <is>
          <t>머리 위 초록 방울 표시</t>
        </is>
      </c>
    </row>
    <row r="58" ht="27" customHeight="1" s="37">
      <c r="A58" s="10" t="inlineStr">
        <is>
          <t>A24</t>
        </is>
      </c>
      <c r="B58" s="38" t="inlineStr">
        <is>
          <t>냉기</t>
        </is>
      </c>
      <c r="C58" s="38" t="inlineStr">
        <is>
          <t>FROST</t>
        </is>
      </c>
      <c r="D58" s="10" t="inlineStr">
        <is>
          <t>희귀</t>
        </is>
      </c>
      <c r="E58" s="10" t="inlineStr">
        <is>
          <t>공격</t>
        </is>
      </c>
      <c r="F58" s="10" t="inlineStr">
        <is>
          <t>특수</t>
        </is>
      </c>
      <c r="G58" s="38" t="inlineStr">
        <is>
          <t>맞은 적이 2초 동안 이동 속도 절반. 보스는 느려지지 않음</t>
        </is>
      </c>
      <c r="H58" s="26" t="inlineStr">
        <is>
          <t>느려짐</t>
        </is>
      </c>
      <c r="I58" s="27" t="n">
        <v>1</v>
      </c>
      <c r="J58" s="38" t="n"/>
      <c r="K58" s="38" t="inlineStr">
        <is>
          <t>눈송이</t>
        </is>
      </c>
      <c r="L58" s="38" t="inlineStr">
        <is>
          <t>기획 추가</t>
        </is>
      </c>
      <c r="M58" s="10" t="inlineStr">
        <is>
          <t>중</t>
        </is>
      </c>
      <c r="N58" s="38" t="inlineStr">
        <is>
          <t>머리 위 눈송이 표시</t>
        </is>
      </c>
    </row>
    <row r="59" ht="27" customHeight="1" s="37">
      <c r="A59" s="10" t="inlineStr">
        <is>
          <t>A25</t>
        </is>
      </c>
      <c r="B59" s="38" t="inlineStr">
        <is>
          <t>연쇄 번개</t>
        </is>
      </c>
      <c r="C59" s="38" t="inlineStr">
        <is>
          <t>CHAIN BOLT</t>
        </is>
      </c>
      <c r="D59" s="10" t="inlineStr">
        <is>
          <t>영웅</t>
        </is>
      </c>
      <c r="E59" s="10" t="inlineStr">
        <is>
          <t>공격</t>
        </is>
      </c>
      <c r="F59" s="10" t="inlineStr">
        <is>
          <t>특수</t>
        </is>
      </c>
      <c r="G59" s="38" t="inlineStr">
        <is>
          <t>맞힐 때마다 170px 안의 가장 가까운 다른 적에게 번개 50%</t>
        </is>
      </c>
      <c r="H59" s="26" t="inlineStr">
        <is>
          <t>연쇄 1</t>
        </is>
      </c>
      <c r="I59" s="27" t="n">
        <v>1</v>
      </c>
      <c r="J59" s="38" t="n"/>
      <c r="K59" s="38" t="inlineStr">
        <is>
          <t>번개</t>
        </is>
      </c>
      <c r="L59" s="38" t="inlineStr">
        <is>
          <t>기획 추가</t>
        </is>
      </c>
      <c r="M59" s="10" t="inlineStr">
        <is>
          <t>중</t>
        </is>
      </c>
      <c r="N59" s="38" t="n"/>
    </row>
    <row r="60" ht="27" customHeight="1" s="37">
      <c r="A60" s="10" t="inlineStr">
        <is>
          <t>A26</t>
        </is>
      </c>
      <c r="B60" s="38" t="inlineStr">
        <is>
          <t>그림자 궤도</t>
        </is>
      </c>
      <c r="C60" s="38" t="inlineStr">
        <is>
          <t>SHADOW ORBIT</t>
        </is>
      </c>
      <c r="D60" s="10" t="inlineStr">
        <is>
          <t>영웅</t>
        </is>
      </c>
      <c r="E60" s="10" t="inlineStr">
        <is>
          <t>공격</t>
        </is>
      </c>
      <c r="F60" s="10" t="inlineStr">
        <is>
          <t>특수(중첩)</t>
        </is>
      </c>
      <c r="G60" s="38" t="inlineStr">
        <is>
          <t>몸 주위를 도는 구슬 2개(2단계 4개). 닿은 적에게 공격력 x0.6, 적 탄환을 막음</t>
        </is>
      </c>
      <c r="H60" s="26" t="inlineStr">
        <is>
          <t>구슬 +2</t>
        </is>
      </c>
      <c r="I60" s="27" t="n">
        <v>2</v>
      </c>
      <c r="J60" s="38" t="n"/>
      <c r="K60" s="38" t="inlineStr">
        <is>
          <t>도는 구슬</t>
        </is>
      </c>
      <c r="L60" s="38" t="inlineStr">
        <is>
          <t>사용자</t>
        </is>
      </c>
      <c r="M60" s="10" t="inlineStr">
        <is>
          <t>중</t>
        </is>
      </c>
      <c r="N60" s="38" t="inlineStr">
        <is>
          <t>따라다니는 친구처럼 겉모습이 바뀌는 카드</t>
        </is>
      </c>
    </row>
    <row r="61">
      <c r="A61" s="10" t="inlineStr">
        <is>
          <t>M06</t>
        </is>
      </c>
      <c r="B61" s="38" t="inlineStr">
        <is>
          <t>그림자 날개</t>
        </is>
      </c>
      <c r="C61" s="38" t="inlineStr">
        <is>
          <t>SHADOW WINGS</t>
        </is>
      </c>
      <c r="D61" s="10" t="inlineStr">
        <is>
          <t>전설</t>
        </is>
      </c>
      <c r="E61" s="10" t="inlineStr">
        <is>
          <t>이동</t>
        </is>
      </c>
      <c r="F61" s="10" t="inlineStr">
        <is>
          <t>특수</t>
        </is>
      </c>
      <c r="G61" s="38" t="inlineStr">
        <is>
          <t>등 뒤에 큰 날개가 돋고, 공중에서 점프를 누르고 있으면 위로 난다. 비행 2.5초(몸 아래 바), 땅에 있으면 다시 참. 다 쓰면 천천히 활공</t>
        </is>
      </c>
      <c r="H61" s="26" t="inlineStr">
        <is>
          <t>비행 2.5초</t>
        </is>
      </c>
      <c r="I61" s="27" t="n">
        <v>1</v>
      </c>
      <c r="J61" s="38" t="n"/>
      <c r="K61" s="38" t="inlineStr">
        <is>
          <t>큰 박쥐 날개</t>
        </is>
      </c>
      <c r="L61" s="38" t="inlineStr">
        <is>
          <t>사용자</t>
        </is>
      </c>
      <c r="M61" s="10" t="inlineStr">
        <is>
          <t>중</t>
        </is>
      </c>
      <c r="N61" s="38" t="inlineStr">
        <is>
          <t>0.4.7 추가. 화면 맨 위 근처로는 못 올라감. 겉모습이 바뀌는 카드</t>
        </is>
      </c>
    </row>
  </sheetData>
  <autoFilter ref="A1:N61"/>
  <conditionalFormatting sqref="D2:D60">
    <cfRule type="expression" priority="1" dxfId="7">
      <formula>$D2="일반"</formula>
    </cfRule>
    <cfRule type="expression" priority="2" dxfId="6">
      <formula>$D2="희귀"</formula>
    </cfRule>
    <cfRule type="expression" priority="3" dxfId="5">
      <formula>$D2="영웅"</formula>
    </cfRule>
    <cfRule type="expression" priority="4" dxfId="4">
      <formula>$D2="전설"</formula>
    </cfRule>
  </conditionalFormatting>
  <conditionalFormatting sqref="F2:F60">
    <cfRule type="expression" priority="5" dxfId="3">
      <formula>$F2="능력치"</formula>
    </cfRule>
    <cfRule type="expression" priority="6" dxfId="2">
      <formula>$F2="특수"</formula>
    </cfRule>
    <cfRule type="expression" priority="7" dxfId="1">
      <formula>$F2="특수(중첩)"</formula>
    </cfRule>
    <cfRule type="expression" priority="8" dxfId="0">
      <formula>$F2="소모"</formula>
    </cfRule>
  </conditionalFormatting>
  <dataValidations count="4">
    <dataValidation sqref="D2:D80" showDropDown="0" showInputMessage="0" showErrorMessage="0" allowBlank="0" type="list">
      <formula1>"일반,희귀,영웅,전설"</formula1>
    </dataValidation>
    <dataValidation sqref="E2:E80" showDropDown="0" showInputMessage="0" showErrorMessage="0" allowBlank="0" type="list">
      <formula1>"공격,방어,이동,대시,필살기,특수"</formula1>
    </dataValidation>
    <dataValidation sqref="F2:F80" showDropDown="0" showInputMessage="0" showErrorMessage="0" allowBlank="0" type="list">
      <formula1>"능력치,특수,특수(중첩),소모"</formula1>
    </dataValidation>
    <dataValidation sqref="M2:M80" showDropDown="0" showInputMessage="0" showErrorMessage="0" allowBlank="1" type="list">
      <formula1>"하,중,상"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6.5"/>
  <cols>
    <col width="30" customWidth="1" style="37" min="1" max="1"/>
    <col width="34" customWidth="1" style="37" min="2" max="2"/>
    <col width="44" customWidth="1" style="37" min="3" max="3"/>
  </cols>
  <sheetData>
    <row r="1" ht="20.25" customHeight="1" s="37">
      <c r="A1" s="1" t="inlineStr">
        <is>
          <t>카드 중복과 특수 능력 조합 규칙</t>
        </is>
      </c>
    </row>
    <row r="3">
      <c r="A3" s="5" t="inlineStr">
        <is>
          <t>종류</t>
        </is>
      </c>
      <c r="B3" s="5" t="inlineStr">
        <is>
          <t>다시 나오는가</t>
        </is>
      </c>
      <c r="C3" s="5" t="inlineStr">
        <is>
          <t>규칙</t>
        </is>
      </c>
    </row>
    <row r="4" ht="40.5" customHeight="1" s="37">
      <c r="A4" s="28" t="inlineStr">
        <is>
          <t>능력치</t>
        </is>
      </c>
      <c r="B4" s="38" t="inlineStr">
        <is>
          <t>최대 중첩까지 계속 나옴</t>
        </is>
      </c>
      <c r="C4" s="38" t="inlineStr">
        <is>
          <t>공격력, 연사, 이동 속도처럼 수치만 올리는 카드. 같은 카드를 여러 번 골라 단계를 쌓는다. 최대 단계면 제시 목록에서 빠진다.</t>
        </is>
      </c>
    </row>
    <row r="5" ht="40.5" customHeight="1" s="37">
      <c r="A5" s="29" t="inlineStr">
        <is>
          <t>특수</t>
        </is>
      </c>
      <c r="B5" s="38" t="inlineStr">
        <is>
          <t>한 번 얻으면 다시 안 나옴</t>
        </is>
      </c>
      <c r="C5" s="38" t="inlineStr">
        <is>
          <t>유도탄, 폭발탄, 무적 대시처럼 '능력이 하나 생기는' 카드. 같은 카드는 한 장만 얻지만, 서로 다른 특수 카드는 몇 장이든 함께 가질 수 있고 효과가 전부 동시에 적용된다.</t>
        </is>
      </c>
    </row>
    <row r="6" ht="40.5" customHeight="1" s="37">
      <c r="A6" s="30" t="inlineStr">
        <is>
          <t>특수(중첩)</t>
        </is>
      </c>
      <c r="B6" s="38" t="inlineStr">
        <is>
          <t>최대 중첩까지 계속 나옴</t>
        </is>
      </c>
      <c r="C6" s="38" t="inlineStr">
        <is>
          <t>특수 능력이지만 개수로 쌓이는 것: 멀티샷(투사체 수), 대시 칸, 공중 점프, 공중 대시, 관통, 튕김, 추가 목숨, 다시 뽑기.</t>
        </is>
      </c>
    </row>
    <row r="7" ht="27" customHeight="1" s="37">
      <c r="A7" s="31" t="inlineStr">
        <is>
          <t>소모</t>
        </is>
      </c>
      <c r="B7" s="38" t="inlineStr">
        <is>
          <t>몇 번이든 나옴</t>
        </is>
      </c>
      <c r="C7" s="38" t="inlineStr">
        <is>
          <t>회복처럼 즉시 효과만 있는 카드. 조건(하트가 가득이 아닐 것)이 맞을 때만 제시.</t>
        </is>
      </c>
    </row>
    <row r="9">
      <c r="A9" s="13" t="inlineStr">
        <is>
          <t>특수 능력 조합 (서로 다른 특수 능력은 모두 겹쳐서 적용)</t>
        </is>
      </c>
    </row>
    <row r="10">
      <c r="A10" s="5" t="inlineStr">
        <is>
          <t>조합</t>
        </is>
      </c>
      <c r="B10" s="5" t="inlineStr">
        <is>
          <t>결과</t>
        </is>
      </c>
      <c r="C10" s="5" t="inlineStr">
        <is>
          <t>제한 (과부하·무한 연쇄 방지)</t>
        </is>
      </c>
    </row>
    <row r="11" ht="27" customHeight="1" s="37">
      <c r="A11" s="38" t="inlineStr">
        <is>
          <t>멀티샷 + 모든 공 능력</t>
        </is>
      </c>
      <c r="B11" s="38" t="inlineStr">
        <is>
          <t>부채꼴로 나간 공 하나하나에 유도·관통·튕김·폭발·저주·분열이 모두 붙는다</t>
        </is>
      </c>
      <c r="C11" s="38" t="inlineStr">
        <is>
          <t>-</t>
        </is>
      </c>
    </row>
    <row r="12">
      <c r="A12" s="38" t="inlineStr">
        <is>
          <t>유도탄 + 튕기는 탄</t>
        </is>
      </c>
      <c r="B12" s="38" t="inlineStr">
        <is>
          <t>튕긴 뒤에도 다시 가까운 적을 찾아 휜다</t>
        </is>
      </c>
      <c r="C12" s="38" t="inlineStr">
        <is>
          <t>-</t>
        </is>
      </c>
    </row>
    <row r="13">
      <c r="A13" s="38" t="inlineStr">
        <is>
          <t>유도탄 + 분열탄</t>
        </is>
      </c>
      <c r="B13" s="38" t="inlineStr">
        <is>
          <t>분열한 작은 공도 유도된다</t>
        </is>
      </c>
      <c r="C13" s="38" t="inlineStr">
        <is>
          <t>-</t>
        </is>
      </c>
    </row>
    <row r="14">
      <c r="A14" s="38" t="inlineStr">
        <is>
          <t>관통 + 분열탄</t>
        </is>
      </c>
      <c r="B14" s="38" t="inlineStr">
        <is>
          <t>관통하면서 처음 맞힌 적에게서만 분열</t>
        </is>
      </c>
      <c r="C14" s="38" t="inlineStr">
        <is>
          <t>공 하나당 분열은 1번</t>
        </is>
      </c>
    </row>
    <row r="15" ht="27" customHeight="1" s="37">
      <c r="A15" s="38" t="inlineStr">
        <is>
          <t>폭발탄 + 분열탄</t>
        </is>
      </c>
      <c r="B15" s="38" t="inlineStr">
        <is>
          <t>본래 공은 폭발 + 분열, 분열 조각은 폭발하지 않음</t>
        </is>
      </c>
      <c r="C15" s="38" t="inlineStr">
        <is>
          <t>분열 조각은 폭발·분열 없음 (연쇄 방지)</t>
        </is>
      </c>
    </row>
    <row r="16">
      <c r="A16" s="38" t="inlineStr">
        <is>
          <t>저주탄 + 폭발/분열</t>
        </is>
      </c>
      <c r="B16" s="38" t="inlineStr">
        <is>
          <t>폭발·분열 조각에 맞은 적에게도 저주 표식</t>
        </is>
      </c>
      <c r="C16" s="38" t="inlineStr">
        <is>
          <t>같은 적은 15초 쿨타임 (보스 포함)</t>
        </is>
      </c>
    </row>
    <row r="17" ht="27" customHeight="1" s="37">
      <c r="A17" s="38" t="inlineStr">
        <is>
          <t>치명타 + 모든 피해</t>
        </is>
      </c>
      <c r="B17" s="38" t="inlineStr">
        <is>
          <t>섀도우볼, 분열 조각, 폭발, 돌진, 잔상 폭발 모두 치명타 판정</t>
        </is>
      </c>
      <c r="C17" s="38" t="inlineStr">
        <is>
          <t>필살기는 치명타 없음</t>
        </is>
      </c>
    </row>
    <row r="18">
      <c r="A18" s="38" t="inlineStr">
        <is>
          <t>차지샷 + 공 능력</t>
        </is>
      </c>
      <c r="B18" s="38" t="inlineStr">
        <is>
          <t>차지 공에 모든 공 능력 적용</t>
        </is>
      </c>
      <c r="C18" s="38" t="inlineStr">
        <is>
          <t>차지 공도 분열은 1번</t>
        </is>
      </c>
    </row>
    <row r="19">
      <c r="A19" s="38" t="inlineStr">
        <is>
          <t>후방 사격 + 멀티샷</t>
        </is>
      </c>
      <c r="B19" s="38" t="inlineStr">
        <is>
          <t>뒤로도 같은 수만큼 발사 (피해 50%)</t>
        </is>
      </c>
      <c r="C19" s="38" t="inlineStr">
        <is>
          <t>-</t>
        </is>
      </c>
    </row>
    <row r="20" ht="27" customHeight="1" s="37">
      <c r="A20" s="38" t="inlineStr">
        <is>
          <t>무적 대시 + 그림자 돌진 + 잔상 폭발</t>
        </is>
      </c>
      <c r="B20" s="38" t="inlineStr">
        <is>
          <t>피해 없이 적을 뚫고 지나가며 베고, 출발 지점은 폭발</t>
        </is>
      </c>
      <c r="C20" s="38" t="inlineStr">
        <is>
          <t>-</t>
        </is>
      </c>
    </row>
    <row r="21">
      <c r="A21" s="38" t="inlineStr">
        <is>
          <t>대시 칸 + 대시 계열</t>
        </is>
      </c>
      <c r="B21" s="38" t="inlineStr">
        <is>
          <t>칸마다 돌진·잔상 폭발이 따로 발동</t>
        </is>
      </c>
      <c r="C21" s="38" t="inlineStr">
        <is>
          <t>잔상은 화면에 최대 3개</t>
        </is>
      </c>
    </row>
    <row r="22" ht="27" customHeight="1" s="37">
      <c r="A22" s="38" t="inlineStr">
        <is>
          <t>그림자 분신 + 공 능력</t>
        </is>
      </c>
      <c r="B22" s="38" t="inlineStr">
        <is>
          <t>분신의 공에도 내 공 능력(유도, 폭발 등)이 적용</t>
        </is>
      </c>
      <c r="C22" s="38" t="inlineStr">
        <is>
          <t>분신 공 피해는 내 공의 50%</t>
        </is>
      </c>
    </row>
    <row r="23">
      <c r="A23" s="38" t="inlineStr">
        <is>
          <t>처형자 + 저주탄</t>
        </is>
      </c>
      <c r="B23" s="38" t="inlineStr">
        <is>
          <t>곱연산: 저주 걸린 빈사 적에게 x1.5 x2</t>
        </is>
      </c>
      <c r="C23" s="38" t="inlineStr">
        <is>
          <t>-</t>
        </is>
      </c>
    </row>
    <row r="24" ht="27" customHeight="1" s="37">
      <c r="A24" s="38" t="inlineStr">
        <is>
          <t>최후의 저항 + 그림자 보호막</t>
        </is>
      </c>
      <c r="B24" s="38" t="inlineStr">
        <is>
          <t>보호막이 있는 동안 하트 1개로 버티며 강화 유지</t>
        </is>
      </c>
      <c r="C24" s="38" t="inlineStr">
        <is>
          <t>-</t>
        </is>
      </c>
    </row>
    <row r="25" ht="27" customHeight="1" s="37">
      <c r="A25" s="38" t="inlineStr">
        <is>
          <t>튕기는 탄 + 분열탄</t>
        </is>
      </c>
      <c r="B25" s="38" t="inlineStr">
        <is>
          <t>분열 조각도 한 번 튕긴다. 튕기는 공은 벽에 처음 닿을 때도 분열</t>
        </is>
      </c>
      <c r="C25" s="38" t="inlineStr">
        <is>
          <t>공 하나당 분열 1번 (적이든 벽이든 먼저 닿은 곳)</t>
        </is>
      </c>
    </row>
    <row r="26">
      <c r="A26" s="38" t="inlineStr">
        <is>
          <t>혈사포 + 차지샷 / 레이저</t>
        </is>
      </c>
      <c r="B26" s="38" t="inlineStr">
        <is>
          <t>함께 나오지 않음 (혈사포가 있으면 둘은 제시 목록에서 빠지고, 반대도 같다)</t>
        </is>
      </c>
      <c r="C26" s="38" t="inlineStr">
        <is>
          <t>-</t>
        </is>
      </c>
    </row>
    <row r="27">
      <c r="A27" s="38" t="inlineStr">
        <is>
          <t>혈사포 + 멀티샷</t>
        </is>
      </c>
      <c r="B27" s="38" t="inlineStr">
        <is>
          <t>광선이 1발마다 10px 굵어짐</t>
        </is>
      </c>
      <c r="C27" s="38" t="inlineStr">
        <is>
          <t>-</t>
        </is>
      </c>
    </row>
    <row r="28">
      <c r="A28" s="38" t="inlineStr">
        <is>
          <t>혈사포 + 저주/독/냉기/치명타</t>
        </is>
      </c>
      <c r="B28" s="38" t="inlineStr">
        <is>
          <t>광선 한 번 한 번에 모두 적용</t>
        </is>
      </c>
      <c r="C28" s="38" t="inlineStr">
        <is>
          <t>-</t>
        </is>
      </c>
    </row>
    <row r="29">
      <c r="A29" s="38" t="inlineStr">
        <is>
          <t>차지샷 + 멀티샷 (0.4.2)</t>
        </is>
      </c>
      <c r="B29" s="38" t="inlineStr">
        <is>
          <t>차지 공도 멀티샷 수만큼 부채꼴로</t>
        </is>
      </c>
      <c r="C29" s="38" t="inlineStr">
        <is>
          <t>-</t>
        </is>
      </c>
    </row>
    <row r="30">
      <c r="A30" s="38" t="inlineStr">
        <is>
          <t>산탄 + 멀티샷</t>
        </is>
      </c>
      <c r="B30" s="38" t="inlineStr">
        <is>
          <t>발 수가 더해짐 (예: 멀티샷 2 + 산탄 = 5발)</t>
        </is>
      </c>
      <c r="C30" s="38" t="inlineStr">
        <is>
          <t>-</t>
        </is>
      </c>
    </row>
    <row r="31">
      <c r="A31" s="38" t="inlineStr">
        <is>
          <t>분신 + 모든 사격</t>
        </is>
      </c>
      <c r="B31" s="38" t="inlineStr">
        <is>
          <t>0.8초마다 내 공격과 같은 발 수, 같은 공 능력 (피해 50%)</t>
        </is>
      </c>
      <c r="C31" s="38" t="inlineStr">
        <is>
          <t>쏠 적이 없으면 쏘지 않는다</t>
        </is>
      </c>
    </row>
    <row r="32">
      <c r="A32" s="38" t="inlineStr">
        <is>
          <t>부메랑 + 관통/튕김</t>
        </is>
      </c>
      <c r="B32" s="38" t="inlineStr">
        <is>
          <t>돌아오는 길에 이미 맞힌 적도 다시 맞힘</t>
        </is>
      </c>
      <c r="C32" s="38" t="inlineStr">
        <is>
          <t>-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6.5"/>
  <cols>
    <col width="7" customWidth="1" style="37" min="1" max="1"/>
    <col width="16" customWidth="1" style="37" min="2" max="2"/>
    <col width="15" customWidth="1" style="37" min="3" max="3"/>
    <col width="16" customWidth="1" style="37" min="4" max="4"/>
    <col width="50" customWidth="1" style="37" min="5" max="5"/>
    <col width="12" customWidth="1" style="37" min="6" max="6"/>
    <col width="11" customWidth="1" style="37" min="7" max="7"/>
    <col width="12" customWidth="1" style="37" min="8" max="8"/>
    <col width="40" customWidth="1" style="37" min="9" max="9"/>
  </cols>
  <sheetData>
    <row r="1" ht="20.25" customHeight="1" s="37">
      <c r="A1" s="1" t="inlineStr">
        <is>
          <t>필살기 종류 (1개만 장착, 높은 등급 카드를 고르면 교체)</t>
        </is>
      </c>
    </row>
    <row r="3">
      <c r="A3" s="5" t="inlineStr">
        <is>
          <t>등급</t>
        </is>
      </c>
      <c r="B3" s="5" t="inlineStr">
        <is>
          <t>필살기</t>
        </is>
      </c>
      <c r="C3" s="5" t="inlineStr">
        <is>
          <t>게임 표기</t>
        </is>
      </c>
      <c r="D3" s="5" t="inlineStr">
        <is>
          <t>얻는 방법</t>
        </is>
      </c>
      <c r="E3" s="5" t="inlineStr">
        <is>
          <t>동작</t>
        </is>
      </c>
      <c r="F3" s="5" t="inlineStr">
        <is>
          <t>일반 적 피해</t>
        </is>
      </c>
      <c r="G3" s="5" t="inlineStr">
        <is>
          <t>보스 피해</t>
        </is>
      </c>
      <c r="H3" s="5" t="inlineStr">
        <is>
          <t>지속 시간(초)</t>
        </is>
      </c>
      <c r="I3" s="5" t="inlineStr">
        <is>
          <t>연출 아이디어</t>
        </is>
      </c>
    </row>
    <row r="4" ht="27" customHeight="1" s="37">
      <c r="A4" s="10" t="inlineStr">
        <is>
          <t>기본</t>
        </is>
      </c>
      <c r="B4" s="38" t="inlineStr">
        <is>
          <t>섀도우 펄스</t>
        </is>
      </c>
      <c r="C4" s="38" t="inlineStr">
        <is>
          <t>SHADOW PULSE</t>
        </is>
      </c>
      <c r="D4" s="38" t="inlineStr">
        <is>
          <t>처음부터 보유</t>
        </is>
      </c>
      <c r="E4" s="38" t="inlineStr">
        <is>
          <t>화면 전체에 충격파 한 번. 화면 안의 적 전부에게 피해. 0.4.3: 광역이라 너프 (일반 35 + 공격력 단계마다 3, 보스 120). 피해 10단위</t>
        </is>
      </c>
      <c r="F4" s="27" t="n">
        <v>35</v>
      </c>
      <c r="G4" s="27" t="n">
        <v>120</v>
      </c>
      <c r="H4" s="27" t="n">
        <v>0</v>
      </c>
      <c r="I4" s="38" t="inlineStr">
        <is>
          <t>지금 연출 유지 (화면 흰색 플래시 + 링)</t>
        </is>
      </c>
    </row>
    <row r="5" ht="27" customHeight="1" s="37">
      <c r="A5" s="21" t="inlineStr">
        <is>
          <t>희귀</t>
        </is>
      </c>
      <c r="B5" s="38" t="inlineStr">
        <is>
          <t>섀도우 레인</t>
        </is>
      </c>
      <c r="C5" s="38" t="inlineStr">
        <is>
          <t>SHADOW RAIN</t>
        </is>
      </c>
      <c r="D5" s="38" t="inlineStr">
        <is>
          <t>카드 U10</t>
        </is>
      </c>
      <c r="E5" s="38" t="inlineStr">
        <is>
          <t>3초 동안 화면 위에서 그림자 탄 18발이 화면 안의 적에게 나눠 떨어짐</t>
        </is>
      </c>
      <c r="F5" s="27" t="n">
        <v>3</v>
      </c>
      <c r="G5" s="27" t="n">
        <v>2</v>
      </c>
      <c r="H5" s="27" t="n">
        <v>3</v>
      </c>
      <c r="I5" s="38" t="inlineStr">
        <is>
          <t>하늘이 어두워지고 보라 탄이 비처럼 내림</t>
        </is>
      </c>
    </row>
    <row r="6" ht="27" customHeight="1" s="37">
      <c r="A6" s="22" t="inlineStr">
        <is>
          <t>영웅</t>
        </is>
      </c>
      <c r="B6" s="38" t="inlineStr">
        <is>
          <t>블랙홀</t>
        </is>
      </c>
      <c r="C6" s="38" t="inlineStr">
        <is>
          <t>BLACK HOLE</t>
        </is>
      </c>
      <c r="D6" s="38" t="inlineStr">
        <is>
          <t>카드 U11</t>
        </is>
      </c>
      <c r="E6" s="38" t="inlineStr">
        <is>
          <t>바라보는 방향 200px 앞에 블랙홀. 4초 동안 주변 적을 끌어당기고 0.25초마다 피해, 닿은 적 투사체 흡수</t>
        </is>
      </c>
      <c r="F6" s="27" t="n">
        <v>1.5</v>
      </c>
      <c r="G6" s="27" t="n">
        <v>3</v>
      </c>
      <c r="H6" s="27" t="n">
        <v>4</v>
      </c>
      <c r="I6" s="38" t="inlineStr">
        <is>
          <t>검은 원 + 빨려드는 도트 파티클, 화면 살짝 흔들림</t>
        </is>
      </c>
    </row>
    <row r="7" ht="27" customHeight="1" s="37">
      <c r="A7" s="23" t="inlineStr">
        <is>
          <t>전설</t>
        </is>
      </c>
      <c r="B7" s="38" t="inlineStr">
        <is>
          <t>나이트메어</t>
        </is>
      </c>
      <c r="C7" s="38" t="inlineStr">
        <is>
          <t>NIGHTMARE</t>
        </is>
      </c>
      <c r="D7" s="38" t="inlineStr">
        <is>
          <t>카드 U12</t>
        </is>
      </c>
      <c r="E7" s="38" t="inlineStr">
        <is>
          <t>4초 동안 적·투사체·보스 패턴을 멈춤. 그동안 플레이어 무적, 섀도우볼 피해 2배. 끝날 때 화면 전체 피해 1번</t>
        </is>
      </c>
      <c r="F7" s="27" t="n">
        <v>8</v>
      </c>
      <c r="G7" s="27" t="n">
        <v>30</v>
      </c>
      <c r="H7" s="27" t="n">
        <v>4</v>
      </c>
      <c r="I7" s="38" t="inlineStr">
        <is>
          <t>화면 색 반전(흑백 + 보라), 겐가의 눈만 빛남</t>
        </is>
      </c>
    </row>
    <row r="8">
      <c r="E8" s="13" t="inlineStr">
        <is>
          <t>한 번 쓸 때 총 피해 (일반 적 1명 기준, 지속형은 타격 횟수 반영)</t>
        </is>
      </c>
    </row>
    <row r="9">
      <c r="E9" s="12" t="inlineStr">
        <is>
          <t>타격 횟수 가정 → 아래 행</t>
        </is>
      </c>
    </row>
    <row r="10">
      <c r="B10" s="5" t="inlineStr">
        <is>
          <t>필살기</t>
        </is>
      </c>
      <c r="C10" s="5" t="inlineStr">
        <is>
          <t>타격 횟수(가정)</t>
        </is>
      </c>
      <c r="D10" s="5" t="inlineStr">
        <is>
          <t>일반 적 총 피해</t>
        </is>
      </c>
      <c r="E10" s="5" t="inlineStr">
        <is>
          <t>보스 총 피해</t>
        </is>
      </c>
    </row>
    <row r="11">
      <c r="B11" s="10">
        <f>B4</f>
        <v/>
      </c>
      <c r="C11" s="27" t="n">
        <v>1</v>
      </c>
      <c r="D11" s="10">
        <f>F4*C11</f>
        <v/>
      </c>
      <c r="E11" s="10">
        <f>G4*1</f>
        <v/>
      </c>
    </row>
    <row r="12">
      <c r="B12" s="10">
        <f>B5</f>
        <v/>
      </c>
      <c r="C12" s="27" t="n">
        <v>2</v>
      </c>
      <c r="D12" s="10">
        <f>F5*C12</f>
        <v/>
      </c>
      <c r="E12" s="10">
        <f>G5*18</f>
        <v/>
      </c>
    </row>
    <row r="13">
      <c r="B13" s="10">
        <f>B6</f>
        <v/>
      </c>
      <c r="C13" s="27" t="n">
        <v>16</v>
      </c>
      <c r="D13" s="10">
        <f>F6*C13</f>
        <v/>
      </c>
      <c r="E13" s="10">
        <f>G6*16</f>
        <v/>
      </c>
    </row>
    <row r="14">
      <c r="B14" s="10">
        <f>B7</f>
        <v/>
      </c>
      <c r="C14" s="27" t="n">
        <v>1</v>
      </c>
      <c r="D14" s="10">
        <f>F7*C14</f>
        <v/>
      </c>
      <c r="E14" s="10">
        <f>G7</f>
        <v/>
      </c>
    </row>
    <row r="15" ht="32.1" customHeight="1" s="37">
      <c r="B15" s="36" t="inlineStr">
        <is>
          <t>가정: 섀도우 레인은 한 적이 평균 2발, 보스는 18발 전부 맞음 / 블랙홀은 4초 ÷ 0.25초 = 16타 / 나이트메어의 보스 피해는 마지막 일격만 셈(멈춘 동안 2배 공격은 별도). 필살기 위력 카드(U02)는 위 값에 곱한다.</t>
        </is>
      </c>
    </row>
  </sheetData>
  <mergeCells count="1">
    <mergeCell ref="B15:I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6.5"/>
  <cols>
    <col width="16" customWidth="1" style="37" min="1" max="1"/>
    <col width="12" customWidth="1" style="37" min="2" max="2"/>
    <col width="14" customWidth="1" style="37" min="3" max="4"/>
    <col width="16" customWidth="1" style="37" min="5" max="6"/>
    <col width="26" customWidth="1" style="37" min="8" max="8"/>
    <col width="10" customWidth="1" style="37" min="9" max="9"/>
  </cols>
  <sheetData>
    <row r="1" ht="20.25" customHeight="1" s="37">
      <c r="A1" s="1" t="inlineStr">
        <is>
          <t>경험치 설계 (적 수는 StageBuilder.cpp 기준)</t>
        </is>
      </c>
    </row>
    <row r="3">
      <c r="A3" s="5" t="inlineStr">
        <is>
          <t>적</t>
        </is>
      </c>
      <c r="B3" s="5" t="inlineStr">
        <is>
          <t>처치 경험치</t>
        </is>
      </c>
      <c r="C3" s="5" t="inlineStr">
        <is>
          <t>스테이지 1 수</t>
        </is>
      </c>
      <c r="D3" s="5" t="inlineStr">
        <is>
          <t>스테이지 2 수</t>
        </is>
      </c>
      <c r="E3" s="5" t="inlineStr">
        <is>
          <t>스테이지 1 경험치</t>
        </is>
      </c>
      <c r="F3" s="5" t="inlineStr">
        <is>
          <t>스테이지 2 경험치</t>
        </is>
      </c>
      <c r="H3" s="13" t="inlineStr">
        <is>
          <t>레벨업 필요 경험치 = 시작값 + 증가량 x (레벨 - 1)</t>
        </is>
      </c>
    </row>
    <row r="4">
      <c r="A4" s="10" t="inlineStr">
        <is>
          <t>슬라임 (Slime)</t>
        </is>
      </c>
      <c r="B4" s="27" t="n">
        <v>2</v>
      </c>
      <c r="C4" s="10" t="n">
        <v>9</v>
      </c>
      <c r="D4" s="10" t="n">
        <v>12</v>
      </c>
      <c r="E4" s="10">
        <f>B4*C4</f>
        <v/>
      </c>
      <c r="F4" s="10">
        <f>B4*D4</f>
        <v/>
      </c>
      <c r="H4" s="32" t="inlineStr">
        <is>
          <t>시작값</t>
        </is>
      </c>
      <c r="I4" s="33" t="n">
        <v>6</v>
      </c>
    </row>
    <row r="5">
      <c r="A5" s="10" t="inlineStr">
        <is>
          <t>박쥐 (Bat)</t>
        </is>
      </c>
      <c r="B5" s="27" t="n">
        <v>2</v>
      </c>
      <c r="C5" s="10" t="n">
        <v>0</v>
      </c>
      <c r="D5" s="10" t="n">
        <v>7</v>
      </c>
      <c r="E5" s="10">
        <f>B5*C5</f>
        <v/>
      </c>
      <c r="F5" s="10">
        <f>B5*D5</f>
        <v/>
      </c>
      <c r="H5" s="32" t="inlineStr">
        <is>
          <t>증가량</t>
        </is>
      </c>
      <c r="I5" s="33" t="n">
        <v>3</v>
      </c>
    </row>
    <row r="6">
      <c r="A6" s="10" t="inlineStr">
        <is>
          <t>늑대 (Hound)</t>
        </is>
      </c>
      <c r="B6" s="27" t="n">
        <v>4</v>
      </c>
      <c r="C6" s="10" t="n">
        <v>3</v>
      </c>
      <c r="D6" s="10" t="n">
        <v>6</v>
      </c>
      <c r="E6" s="10">
        <f>B6*C6</f>
        <v/>
      </c>
      <c r="F6" s="10">
        <f>B6*D6</f>
        <v/>
      </c>
      <c r="H6" s="32" t="inlineStr">
        <is>
          <t>모두 처치 비율</t>
        </is>
      </c>
      <c r="I6" s="34" t="n">
        <v>0.85</v>
      </c>
      <c r="J6" s="12" t="inlineStr">
        <is>
          <t>실제로는 적을 다 잡지 못하므로 85%만 잡는다고 가정</t>
        </is>
      </c>
    </row>
    <row r="7">
      <c r="A7" s="10" t="inlineStr">
        <is>
          <t>마법사 (Caster)</t>
        </is>
      </c>
      <c r="B7" s="27" t="n">
        <v>4</v>
      </c>
      <c r="C7" s="10" t="n">
        <v>2</v>
      </c>
      <c r="D7" s="10" t="n">
        <v>5</v>
      </c>
      <c r="E7" s="10">
        <f>B7*C7</f>
        <v/>
      </c>
      <c r="F7" s="10">
        <f>B7*D7</f>
        <v/>
      </c>
    </row>
    <row r="8">
      <c r="A8" s="11" t="inlineStr">
        <is>
          <t>합계</t>
        </is>
      </c>
      <c r="B8" s="11" t="n"/>
      <c r="C8" s="11">
        <f>SUM(C4:C7)</f>
        <v/>
      </c>
      <c r="D8" s="11">
        <f>SUM(D4:D7)</f>
        <v/>
      </c>
      <c r="E8" s="11">
        <f>SUM(E4:E7)</f>
        <v/>
      </c>
      <c r="F8" s="11">
        <f>SUM(F4:F7)</f>
        <v/>
      </c>
    </row>
    <row r="9">
      <c r="A9" s="5" t="inlineStr">
        <is>
          <t>레벨</t>
        </is>
      </c>
      <c r="B9" s="5" t="inlineStr">
        <is>
          <t>다음 레벨까지</t>
        </is>
      </c>
      <c r="C9" s="5" t="inlineStr">
        <is>
          <t>누적 필요</t>
        </is>
      </c>
      <c r="H9" s="13" t="inlineStr">
        <is>
          <t>예상 결과</t>
        </is>
      </c>
    </row>
    <row r="10">
      <c r="A10" s="10" t="n">
        <v>1</v>
      </c>
      <c r="B10" s="10">
        <f>$I$4+$I$5*(A10-1)</f>
        <v/>
      </c>
      <c r="C10" s="10">
        <f>B10</f>
        <v/>
      </c>
      <c r="H10" s="32" t="inlineStr">
        <is>
          <t>스테이지 1 끝 누적 경험치</t>
        </is>
      </c>
      <c r="I10" s="35">
        <f>E8*I6</f>
        <v/>
      </c>
    </row>
    <row r="11">
      <c r="A11" s="10" t="n">
        <v>2</v>
      </c>
      <c r="B11" s="10">
        <f>$I$4+$I$5*(A11-1)</f>
        <v/>
      </c>
      <c r="C11" s="10">
        <f>C10+B11</f>
        <v/>
      </c>
      <c r="H11" s="32" t="inlineStr">
        <is>
          <t>스테이지 1 끝 레벨</t>
        </is>
      </c>
      <c r="I11" s="35">
        <f>IFERROR(MATCH(I10,$C$10:$C$24,1),0)+1</f>
        <v/>
      </c>
    </row>
    <row r="12">
      <c r="A12" s="10" t="n">
        <v>3</v>
      </c>
      <c r="B12" s="10">
        <f>$I$4+$I$5*(A12-1)</f>
        <v/>
      </c>
      <c r="C12" s="10">
        <f>C11+B12</f>
        <v/>
      </c>
      <c r="H12" s="32" t="inlineStr">
        <is>
          <t>스테이지 2 끝 누적 경험치</t>
        </is>
      </c>
      <c r="I12" s="35">
        <f>(E8+F8)*I6</f>
        <v/>
      </c>
    </row>
    <row r="13">
      <c r="A13" s="10" t="n">
        <v>4</v>
      </c>
      <c r="B13" s="10">
        <f>$I$4+$I$5*(A13-1)</f>
        <v/>
      </c>
      <c r="C13" s="10">
        <f>C12+B13</f>
        <v/>
      </c>
      <c r="H13" s="32" t="inlineStr">
        <is>
          <t>스테이지 2 끝 레벨</t>
        </is>
      </c>
      <c r="I13" s="35">
        <f>IFERROR(MATCH(I12,$C$10:$C$24,1),0)+1</f>
        <v/>
      </c>
    </row>
    <row r="14">
      <c r="A14" s="10" t="n">
        <v>5</v>
      </c>
      <c r="B14" s="10">
        <f>$I$4+$I$5*(A14-1)</f>
        <v/>
      </c>
      <c r="C14" s="10">
        <f>C13+B14</f>
        <v/>
      </c>
      <c r="H14" s="32" t="inlineStr">
        <is>
          <t>레벨업 카드 수 (보스 전)</t>
        </is>
      </c>
      <c r="I14" s="35">
        <f>I13-1</f>
        <v/>
      </c>
    </row>
    <row r="15">
      <c r="A15" s="10" t="n">
        <v>6</v>
      </c>
      <c r="B15" s="10">
        <f>$I$4+$I$5*(A15-1)</f>
        <v/>
      </c>
      <c r="C15" s="10">
        <f>C14+B15</f>
        <v/>
      </c>
      <c r="H15" s="32" t="inlineStr">
        <is>
          <t>보스전 카드 (체력 66%, 33%)</t>
        </is>
      </c>
      <c r="I15" s="35" t="n">
        <v>2</v>
      </c>
    </row>
    <row r="16">
      <c r="A16" s="10" t="n">
        <v>7</v>
      </c>
      <c r="B16" s="10">
        <f>$I$4+$I$5*(A16-1)</f>
        <v/>
      </c>
      <c r="C16" s="10">
        <f>C15+B16</f>
        <v/>
      </c>
      <c r="H16" s="32" t="inlineStr">
        <is>
          <t>한 판 카드 총합 (상점 제외)</t>
        </is>
      </c>
      <c r="I16" s="35">
        <f>I14+I15</f>
        <v/>
      </c>
    </row>
    <row r="17">
      <c r="A17" s="10" t="n">
        <v>8</v>
      </c>
      <c r="B17" s="10">
        <f>$I$4+$I$5*(A17-1)</f>
        <v/>
      </c>
      <c r="C17" s="10">
        <f>C16+B17</f>
        <v/>
      </c>
    </row>
    <row r="18">
      <c r="A18" s="10" t="n">
        <v>9</v>
      </c>
      <c r="B18" s="10">
        <f>$I$4+$I$5*(A18-1)</f>
        <v/>
      </c>
      <c r="C18" s="10">
        <f>C17+B18</f>
        <v/>
      </c>
      <c r="H18" s="36" t="inlineStr">
        <is>
          <t>목표: 스테이지 1에서 2~3장, 스테이지 2까지 합쳐 6장 안팎, 보스전 2장. 스테이지 2 적이 2배라 후반 레벨이 몰리지 않도록 증가량으로 조절.</t>
        </is>
      </c>
    </row>
    <row r="19">
      <c r="A19" s="10" t="n">
        <v>10</v>
      </c>
      <c r="B19" s="10">
        <f>$I$4+$I$5*(A19-1)</f>
        <v/>
      </c>
      <c r="C19" s="10">
        <f>C18+B19</f>
        <v/>
      </c>
    </row>
    <row r="20">
      <c r="A20" s="10" t="n">
        <v>11</v>
      </c>
      <c r="B20" s="10">
        <f>$I$4+$I$5*(A20-1)</f>
        <v/>
      </c>
      <c r="C20" s="10">
        <f>C19+B20</f>
        <v/>
      </c>
    </row>
    <row r="21">
      <c r="A21" s="10" t="n">
        <v>12</v>
      </c>
      <c r="B21" s="10">
        <f>$I$4+$I$5*(A21-1)</f>
        <v/>
      </c>
      <c r="C21" s="10">
        <f>C20+B21</f>
        <v/>
      </c>
    </row>
    <row r="22">
      <c r="A22" s="10" t="n">
        <v>13</v>
      </c>
      <c r="B22" s="10">
        <f>$I$4+$I$5*(A22-1)</f>
        <v/>
      </c>
      <c r="C22" s="10">
        <f>C21+B22</f>
        <v/>
      </c>
    </row>
    <row r="23">
      <c r="A23" s="10" t="n">
        <v>14</v>
      </c>
      <c r="B23" s="10">
        <f>$I$4+$I$5*(A23-1)</f>
        <v/>
      </c>
      <c r="C23" s="10">
        <f>C22+B23</f>
        <v/>
      </c>
    </row>
    <row r="24">
      <c r="A24" s="10" t="n">
        <v>15</v>
      </c>
      <c r="B24" s="10">
        <f>$I$4+$I$5*(A24-1)</f>
        <v/>
      </c>
      <c r="C24" s="10">
        <f>C23+B24</f>
        <v/>
      </c>
    </row>
  </sheetData>
  <mergeCells count="1">
    <mergeCell ref="H18:L2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6.5"/>
  <cols>
    <col width="26" customWidth="1" style="37" min="1" max="1"/>
    <col width="14" customWidth="1" style="37" min="2" max="2"/>
    <col width="16" customWidth="1" style="37" min="3" max="4"/>
    <col width="22" customWidth="1" style="37" min="5" max="8"/>
  </cols>
  <sheetData>
    <row r="1" ht="20.25" customHeight="1" s="37">
      <c r="A1" s="1" t="inlineStr">
        <is>
          <t>상점: 카드 뽑기 기회 구매</t>
        </is>
      </c>
    </row>
    <row r="3">
      <c r="A3" s="32" t="inlineStr">
        <is>
          <t>뽑기 가격</t>
        </is>
      </c>
      <c r="B3" s="33" t="n">
        <v>50</v>
      </c>
      <c r="C3" s="12" t="inlineStr">
        <is>
          <t>0.4.6: 첫 뽑기 50코인, 그 판에서 뽑을 때마다 +25, 상한 없음. 다음 상점에도 이어진다 (스테이지 1 뒤 상점에서 75까지 뽑았으면 스테이지 2 뒤 상점은 100부터)</t>
        </is>
      </c>
    </row>
    <row r="4">
      <c r="A4" s="32" t="inlineStr">
        <is>
          <t>뽑을 때마다 오르는 가격</t>
        </is>
      </c>
      <c r="B4" s="33" t="n">
        <v>25</v>
      </c>
    </row>
    <row r="5">
      <c r="A5" s="32" t="inlineStr">
        <is>
          <t>가격 규칙</t>
        </is>
      </c>
      <c r="B5" s="33" t="inlineStr">
        <is>
          <t>50 + 25 x (이번 판에서 상점에서 뽑은 횟수)</t>
        </is>
      </c>
    </row>
    <row r="7">
      <c r="A7" s="5" t="inlineStr">
        <is>
          <t>뽑기 회차</t>
        </is>
      </c>
      <c r="B7" s="5" t="inlineStr">
        <is>
          <t>이번 가격</t>
        </is>
      </c>
      <c r="C7" s="5" t="inlineStr">
        <is>
          <t>누적 가격</t>
        </is>
      </c>
      <c r="E7" s="5" t="inlineStr">
        <is>
          <t>상점</t>
        </is>
      </c>
      <c r="F7" s="5" t="inlineStr">
        <is>
          <t>그 판에서 모은 코인</t>
        </is>
      </c>
      <c r="G7" s="5" t="inlineStr">
        <is>
          <t>뽑을 수 있는 횟수</t>
        </is>
      </c>
      <c r="H7" s="5" t="inlineStr">
        <is>
          <t>남는 코인</t>
        </is>
      </c>
    </row>
    <row r="8">
      <c r="A8" s="10" t="n">
        <v>1</v>
      </c>
      <c r="B8" s="10">
        <f>$B$3+$B$4*(A8-1)</f>
        <v/>
      </c>
      <c r="C8" s="10">
        <f>B8</f>
        <v/>
      </c>
      <c r="D8" s="10" t="n"/>
      <c r="E8" s="10" t="inlineStr">
        <is>
          <t>스테이지 1 뒤</t>
        </is>
      </c>
      <c r="F8" s="27" t="n">
        <v>61</v>
      </c>
      <c r="G8" s="10">
        <f>IFERROR(MATCH(F8,$C$8:$C$13,1),0)</f>
        <v/>
      </c>
      <c r="H8" s="10">
        <f>F8-IF(G8=0,0,INDEX($C$8:$C$13,G8))</f>
        <v/>
      </c>
    </row>
    <row r="9" ht="27" customHeight="1" s="37">
      <c r="A9" s="10" t="n">
        <v>2</v>
      </c>
      <c r="B9" s="10">
        <f>$B$3+$B$4*(A9-1)</f>
        <v/>
      </c>
      <c r="C9" s="10">
        <f>C8+B9</f>
        <v/>
      </c>
      <c r="D9" s="10" t="n"/>
      <c r="E9" s="10" t="inlineStr">
        <is>
          <t>스테이지 2 뒤 (남은 코인 포함)</t>
        </is>
      </c>
      <c r="F9" s="10">
        <f>H8+68</f>
        <v/>
      </c>
      <c r="G9" s="10">
        <f>IFERROR(MATCH(F9,$C$8:$C$13,1),0)</f>
        <v/>
      </c>
      <c r="H9" s="10">
        <f>F9-IF(G9=0,0,INDEX($C$8:$C$13,G9))</f>
        <v/>
      </c>
    </row>
    <row r="10">
      <c r="A10" s="10" t="n">
        <v>3</v>
      </c>
      <c r="B10" s="10">
        <f>$B$3+$B$4*(A10-1)</f>
        <v/>
      </c>
      <c r="C10" s="10">
        <f>C9+B10</f>
        <v/>
      </c>
    </row>
    <row r="11">
      <c r="A11" s="10" t="n">
        <v>4</v>
      </c>
      <c r="B11" s="10">
        <f>$B$3+$B$4*(A11-1)</f>
        <v/>
      </c>
      <c r="C11" s="10">
        <f>C10+B11</f>
        <v/>
      </c>
    </row>
    <row r="12">
      <c r="A12" s="10" t="n">
        <v>5</v>
      </c>
      <c r="B12" s="10">
        <f>$B$3+$B$4*(A12-1)</f>
        <v/>
      </c>
      <c r="C12" s="10">
        <f>C11+B12</f>
        <v/>
      </c>
    </row>
    <row r="13">
      <c r="A13" s="10" t="n">
        <v>6</v>
      </c>
      <c r="B13" s="10">
        <f>$B$3+$B$4*(A13-1)</f>
        <v/>
      </c>
      <c r="C13" s="10">
        <f>C12+B13</f>
        <v/>
      </c>
    </row>
    <row r="16">
      <c r="A16" s="13" t="inlineStr">
        <is>
          <t>상점 화면 구성 (제안)</t>
        </is>
      </c>
    </row>
    <row r="17">
      <c r="A17" s="38" t="inlineStr">
        <is>
          <t>왼쪽</t>
        </is>
      </c>
      <c r="B17" s="38" t="inlineStr">
        <is>
          <t>캐릭터 패널: 겐가 도트 + 능력치 아이콘 줄 + 얻은 카드 아이콘 격자 ('캐릭터 패널' 시트)</t>
        </is>
      </c>
      <c r="C17" s="41" t="n"/>
      <c r="D17" s="41" t="n"/>
      <c r="E17" s="41" t="n"/>
      <c r="F17" s="41" t="n"/>
      <c r="G17" s="41" t="n"/>
      <c r="H17" s="42" t="n"/>
    </row>
    <row r="18">
      <c r="A18" s="38" t="inlineStr">
        <is>
          <t>가운데</t>
        </is>
      </c>
      <c r="B18" s="38" t="inlineStr">
        <is>
          <t>DRAW CARD (가격 표시) 버튼. 누르면 그 자리에서 카드 3장이 펼쳐지고 하나를 고른다. 희귀 이상 1장 보장</t>
        </is>
      </c>
      <c r="C18" s="41" t="n"/>
      <c r="D18" s="41" t="n"/>
      <c r="E18" s="41" t="n"/>
      <c r="F18" s="41" t="n"/>
      <c r="G18" s="41" t="n"/>
      <c r="H18" s="42" t="n"/>
    </row>
    <row r="19">
      <c r="A19" s="38" t="inlineStr">
        <is>
          <t>가운데 아래</t>
        </is>
      </c>
      <c r="B19" s="38" t="inlineStr">
        <is>
          <t>HEAL 2 HEARTS 20코인 (하트가 가득이면 숨김) — 카드 운이 나빠도 회복할 길을 남긴다</t>
        </is>
      </c>
      <c r="C19" s="41" t="n"/>
      <c r="D19" s="41" t="n"/>
      <c r="E19" s="41" t="n"/>
      <c r="F19" s="41" t="n"/>
      <c r="G19" s="41" t="n"/>
      <c r="H19" s="42" t="n"/>
    </row>
    <row r="20">
      <c r="A20" s="38" t="inlineStr">
        <is>
          <t>오른쪽 아래</t>
        </is>
      </c>
      <c r="B20" s="38" t="inlineStr">
        <is>
          <t>NEXT STAGE 출발</t>
        </is>
      </c>
      <c r="C20" s="41" t="n"/>
      <c r="D20" s="41" t="n"/>
      <c r="E20" s="41" t="n"/>
      <c r="F20" s="41" t="n"/>
      <c r="G20" s="41" t="n"/>
      <c r="H20" s="42" t="n"/>
    </row>
    <row r="21">
      <c r="A21" s="38" t="inlineStr">
        <is>
          <t>봇(bot=1)</t>
        </is>
      </c>
      <c r="B21" s="38" t="inlineStr">
        <is>
          <t>검증용 봇: 살 수 있는 만큼 뽑고, 카드는 등급 높은 것 → 공격 분류 순으로 고른다</t>
        </is>
      </c>
      <c r="C21" s="41" t="n"/>
      <c r="D21" s="41" t="n"/>
      <c r="E21" s="41" t="n"/>
      <c r="F21" s="41" t="n"/>
      <c r="G21" s="41" t="n"/>
      <c r="H21" s="42" t="n"/>
    </row>
    <row r="22">
      <c r="A22" s="38" t="inlineStr">
        <is>
          <t>탐욕 카드</t>
        </is>
      </c>
      <c r="B22" s="38" t="inlineStr">
        <is>
          <t>탐욕(코인 +25%)을 2단계 찍으면 스테이지 1 코인이 61 → 약 92개, 상점에서 1번 뽑고 남는다</t>
        </is>
      </c>
      <c r="C22" s="41" t="n"/>
      <c r="D22" s="41" t="n"/>
      <c r="E22" s="41" t="n"/>
      <c r="F22" s="41" t="n"/>
      <c r="G22" s="41" t="n"/>
      <c r="H22" s="42" t="n"/>
    </row>
    <row r="24">
      <c r="A24" s="13" t="inlineStr">
        <is>
          <t>레벨업 화면 코인 다시 뽑기 (0.3.0)</t>
        </is>
      </c>
    </row>
    <row r="25">
      <c r="A25" s="38" t="inlineStr">
        <is>
          <t>첫 가격</t>
        </is>
      </c>
      <c r="B25" s="38" t="inlineStr">
        <is>
          <t>15코인</t>
        </is>
      </c>
      <c r="C25" s="41" t="n"/>
      <c r="D25" s="41" t="n"/>
      <c r="E25" s="41" t="n"/>
      <c r="F25" s="41" t="n"/>
      <c r="G25" s="41" t="n"/>
      <c r="H25" s="42" t="n"/>
    </row>
    <row r="26">
      <c r="A26" s="38" t="inlineStr">
        <is>
          <t>오르는 가격</t>
        </is>
      </c>
      <c r="B26" s="38" t="inlineStr">
        <is>
          <t>같은 스테이지에서 낼 때마다 +10 (15 → 25 → 35 …), 스테이지가 바뀌면 15로 돌아감</t>
        </is>
      </c>
      <c r="C26" s="41" t="n"/>
      <c r="D26" s="41" t="n"/>
      <c r="E26" s="41" t="n"/>
      <c r="F26" s="41" t="n"/>
      <c r="G26" s="41" t="n"/>
      <c r="H26" s="42" t="n"/>
    </row>
    <row r="27">
      <c r="A27" s="38" t="inlineStr">
        <is>
          <t>순서</t>
        </is>
      </c>
      <c r="B27" s="38" t="inlineStr">
        <is>
          <t>리롤 카드의 무료 횟수가 남아 있으면 먼저 쓰고, 없으면 코인을 냄. R 키 (0.3.1, 이전에는 ↑). 코인이 모자라면 안내에 필요한 코인을 붉게 표시</t>
        </is>
      </c>
      <c r="C27" s="41" t="n"/>
      <c r="D27" s="41" t="n"/>
      <c r="E27" s="41" t="n"/>
      <c r="F27" s="41" t="n"/>
      <c r="G27" s="41" t="n"/>
      <c r="H27" s="42" t="n"/>
    </row>
    <row r="28">
      <c r="A28" s="38" t="inlineStr">
        <is>
          <t>적용 화면</t>
        </is>
      </c>
      <c r="B28" s="38" t="inlineStr">
        <is>
          <t>레벨업, 보스 단계 보너스 카드. 상점 뽑기 화면에는 없음 (상점은 뽑기 자체가 코인)</t>
        </is>
      </c>
      <c r="C28" s="41" t="n"/>
      <c r="D28" s="41" t="n"/>
      <c r="E28" s="41" t="n"/>
      <c r="F28" s="41" t="n"/>
      <c r="G28" s="41" t="n"/>
      <c r="H28" s="42" t="n"/>
    </row>
    <row r="30">
      <c r="A30" s="13" t="inlineStr">
        <is>
          <t>상점 화면 정리 (0.3.1)</t>
        </is>
      </c>
    </row>
    <row r="31">
      <c r="A31" s="38" t="inlineStr">
        <is>
          <t>고른 칸</t>
        </is>
      </c>
      <c r="B31" s="38" t="inlineStr">
        <is>
          <t>금색 테두리가 깜빡이고 왼쪽에 화살표. 출발 칸은 초록(보스 전에는 분홍)으로 바뀌고 &gt;&gt;&gt; 가 흐른다</t>
        </is>
      </c>
      <c r="C31" s="41" t="n"/>
      <c r="D31" s="41" t="n"/>
      <c r="E31" s="41" t="n"/>
      <c r="F31" s="41" t="n"/>
      <c r="G31" s="41" t="n"/>
      <c r="H31" s="42" t="n"/>
    </row>
    <row r="32">
      <c r="A32" s="38" t="inlineStr">
        <is>
          <t>출발 칸</t>
        </is>
      </c>
      <c r="B32" s="38" t="inlineStr">
        <is>
          <t>'NEXT STAGE' + 다음 스테이지 이름. 누르면 화면이 검게 닫히고 넘어간다</t>
        </is>
      </c>
      <c r="C32" s="41" t="n"/>
      <c r="D32" s="41" t="n"/>
      <c r="E32" s="41" t="n"/>
      <c r="F32" s="41" t="n"/>
      <c r="G32" s="41" t="n"/>
      <c r="H32" s="42" t="n"/>
    </row>
    <row r="33">
      <c r="A33" s="38" t="inlineStr">
        <is>
          <t>능력치 패널</t>
        </is>
      </c>
      <c r="B33" s="38" t="inlineStr">
        <is>
          <t>이름을 밝게, 줄마다 옅은 띠. 카드로 올린 능력치는 초록 값으로 표시 (일시정지 화면 패널도 같다)</t>
        </is>
      </c>
      <c r="C33" s="41" t="n"/>
      <c r="D33" s="41" t="n"/>
      <c r="E33" s="41" t="n"/>
      <c r="F33" s="41" t="n"/>
      <c r="G33" s="41" t="n"/>
      <c r="H33" s="42" t="n"/>
    </row>
    <row r="34">
      <c r="A34" s="38" t="inlineStr">
        <is>
          <t>스테이지 클리어 화면</t>
        </is>
      </c>
      <c r="B34" s="38" t="inlineStr">
        <is>
          <t>기록이 다 나온 뒤 Z 를 눌러야 상점으로 넘어간다 (예전에는 약 3초 뒤 자동)</t>
        </is>
      </c>
      <c r="C34" s="41" t="n"/>
      <c r="D34" s="41" t="n"/>
      <c r="E34" s="41" t="n"/>
      <c r="F34" s="41" t="n"/>
      <c r="G34" s="41" t="n"/>
      <c r="H34" s="42" t="n"/>
    </row>
    <row r="36">
      <c r="A36" s="13" t="inlineStr">
        <is>
          <t>카드 강화 (0.4.3)</t>
        </is>
      </c>
    </row>
    <row r="37">
      <c r="A37" s="38" t="inlineStr">
        <is>
          <t>위치</t>
        </is>
      </c>
      <c r="B37" s="38" t="inlineStr">
        <is>
          <t>오른쪽 가운데 칸 (뽑기 아래, 다음 스테이지 위). 예전 안내 글 자리에 만들고 출발 칸과 자리를 바꿈</t>
        </is>
      </c>
      <c r="C37" s="41" t="n"/>
      <c r="D37" s="41" t="n"/>
      <c r="E37" s="41" t="n"/>
      <c r="F37" s="41" t="n"/>
      <c r="G37" s="41" t="n"/>
      <c r="H37" s="42" t="n"/>
    </row>
    <row r="38">
      <c r="A38" s="38" t="inlineStr">
        <is>
          <t>대상</t>
        </is>
      </c>
      <c r="B38" s="38" t="inlineStr">
        <is>
          <t>얻은 카드 중 같은 카드를 또 얻으면 단계가 오르는 것(능력치, 특수(중첩))이고 아직 최대 단계가 아닌 것</t>
        </is>
      </c>
      <c r="C38" s="41" t="n"/>
      <c r="D38" s="41" t="n"/>
      <c r="E38" s="41" t="n"/>
      <c r="F38" s="41" t="n"/>
      <c r="G38" s="41" t="n"/>
      <c r="H38" s="42" t="n"/>
    </row>
    <row r="39">
      <c r="A39" s="38" t="inlineStr">
        <is>
          <t>가격</t>
        </is>
      </c>
      <c r="B39" s="38" t="inlineStr">
        <is>
          <t>등급 기본값 + 지금 단계 x 20. 기본값: 일반 60 / 희귀 90 / 영웅 140 / 전설 200 (뽑기 첫 가격 50 보다 비싸게)</t>
        </is>
      </c>
      <c r="C39" s="41" t="n"/>
      <c r="D39" s="41" t="n"/>
      <c r="E39" s="41" t="n"/>
      <c r="F39" s="41" t="n"/>
      <c r="G39" s="41" t="n"/>
      <c r="H39" s="42" t="n"/>
    </row>
    <row r="40">
      <c r="A40" s="38" t="inlineStr">
        <is>
          <t>조작</t>
        </is>
      </c>
      <c r="B40" s="38" t="inlineStr">
        <is>
          <t>0.4.5 목록형으로 다시: 강화 칸에서 Z -&gt; 올릴 수 있는 카드가 한 줄씩(아이콘, 이름, 등급, 단계 칸에서 오를 칸은 금색, LV 2 &gt; 3, 가격). ↑ ↓ 로 고르고 Z 로 올림, Esc 로 돌아감. 위에 가진 코인과 "무엇을 하는 화면인지" 설명, 아래에 고른 카드의 자세한 설명과 "Z 를 누르면 몇 코인" 안내. 코인이 모자라면 가격과 안내가 빨갛다</t>
        </is>
      </c>
      <c r="C40" s="41" t="n"/>
      <c r="D40" s="41" t="n"/>
      <c r="E40" s="41" t="n"/>
      <c r="F40" s="41" t="n"/>
      <c r="G40" s="41" t="n"/>
      <c r="H40" s="42" t="n"/>
    </row>
  </sheetData>
  <mergeCells count="18">
    <mergeCell ref="B22:H22"/>
    <mergeCell ref="B32:H32"/>
    <mergeCell ref="B17:H17"/>
    <mergeCell ref="B26:H26"/>
    <mergeCell ref="B18:H18"/>
    <mergeCell ref="B27:H27"/>
    <mergeCell ref="B40:H40"/>
    <mergeCell ref="B21:H21"/>
    <mergeCell ref="B39:H39"/>
    <mergeCell ref="B34:H34"/>
    <mergeCell ref="B31:H31"/>
    <mergeCell ref="B38:H38"/>
    <mergeCell ref="B33:H33"/>
    <mergeCell ref="B25:H25"/>
    <mergeCell ref="B19:H19"/>
    <mergeCell ref="B20:H20"/>
    <mergeCell ref="B37:H37"/>
    <mergeCell ref="B28:H28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6.5"/>
  <cols>
    <col width="6" customWidth="1" style="37" min="1" max="1"/>
    <col width="16" customWidth="1" style="37" min="2" max="2"/>
    <col width="12" customWidth="1" style="37" min="3" max="3"/>
    <col width="24" customWidth="1" style="37" min="4" max="4"/>
    <col width="40" customWidth="1" style="37" min="5" max="5"/>
    <col width="30" customWidth="1" style="37" min="6" max="6"/>
  </cols>
  <sheetData>
    <row r="1" ht="20.25" customHeight="1" s="37">
      <c r="A1" s="1" t="inlineStr">
        <is>
          <t>캐릭터 패널 (상점 왼쪽 / 일시정지 화면)</t>
        </is>
      </c>
    </row>
    <row r="3">
      <c r="A3" s="5" t="inlineStr">
        <is>
          <t>순서</t>
        </is>
      </c>
      <c r="B3" s="5" t="inlineStr">
        <is>
          <t>표시 항목</t>
        </is>
      </c>
      <c r="C3" s="5" t="inlineStr">
        <is>
          <t>게임 표기</t>
        </is>
      </c>
      <c r="D3" s="5" t="inlineStr">
        <is>
          <t>아이콘 (16x16 도트)</t>
        </is>
      </c>
      <c r="E3" s="5" t="inlineStr">
        <is>
          <t>표시 방식</t>
        </is>
      </c>
      <c r="F3" s="5" t="inlineStr">
        <is>
          <t>관련 카드</t>
        </is>
      </c>
    </row>
    <row r="4">
      <c r="A4" s="38" t="n">
        <v>1</v>
      </c>
      <c r="B4" s="38" t="inlineStr">
        <is>
          <t>레벨</t>
        </is>
      </c>
      <c r="C4" s="38" t="inlineStr">
        <is>
          <t>LV</t>
        </is>
      </c>
      <c r="D4" s="38" t="inlineStr">
        <is>
          <t>별</t>
        </is>
      </c>
      <c r="E4" s="38" t="inlineStr">
        <is>
          <t>LV 5 + 작은 경험치 바</t>
        </is>
      </c>
      <c r="F4" s="38" t="inlineStr">
        <is>
          <t>-</t>
        </is>
      </c>
    </row>
    <row r="5">
      <c r="A5" s="38" t="n">
        <v>2</v>
      </c>
      <c r="B5" s="38" t="inlineStr">
        <is>
          <t>공격력</t>
        </is>
      </c>
      <c r="C5" s="38" t="inlineStr">
        <is>
          <t>ATK</t>
        </is>
      </c>
      <c r="D5" s="38" t="inlineStr">
        <is>
          <t>주먹</t>
        </is>
      </c>
      <c r="E5" s="38" t="inlineStr">
        <is>
          <t>숫자 (예: 3)</t>
        </is>
      </c>
      <c r="F5" s="38" t="inlineStr">
        <is>
          <t>A01</t>
        </is>
      </c>
    </row>
    <row r="6">
      <c r="A6" s="38" t="n">
        <v>3</v>
      </c>
      <c r="B6" s="38" t="inlineStr">
        <is>
          <t>연사</t>
        </is>
      </c>
      <c r="C6" s="38" t="inlineStr">
        <is>
          <t>RATE</t>
        </is>
      </c>
      <c r="D6" s="38" t="inlineStr">
        <is>
          <t>공 2개</t>
        </is>
      </c>
      <c r="E6" s="38" t="inlineStr">
        <is>
          <t>초당 발사 수 (예: 3.2/S)</t>
        </is>
      </c>
      <c r="F6" s="38" t="inlineStr">
        <is>
          <t>A02</t>
        </is>
      </c>
    </row>
    <row r="7">
      <c r="A7" s="38" t="n">
        <v>4</v>
      </c>
      <c r="B7" s="38" t="inlineStr">
        <is>
          <t>투사체</t>
        </is>
      </c>
      <c r="C7" s="38" t="inlineStr">
        <is>
          <t>SHOT</t>
        </is>
      </c>
      <c r="D7" s="38" t="inlineStr">
        <is>
          <t>공 3개 부채꼴</t>
        </is>
      </c>
      <c r="E7" s="38" t="inlineStr">
        <is>
          <t>x2 (1이면 숨김)</t>
        </is>
      </c>
      <c r="F7" s="38" t="inlineStr">
        <is>
          <t>A10, A08</t>
        </is>
      </c>
    </row>
    <row r="8">
      <c r="A8" s="38" t="n">
        <v>5</v>
      </c>
      <c r="B8" s="38" t="inlineStr">
        <is>
          <t>사거리</t>
        </is>
      </c>
      <c r="C8" s="38" t="inlineStr">
        <is>
          <t>RANGE</t>
        </is>
      </c>
      <c r="D8" s="38" t="inlineStr">
        <is>
          <t>화살표</t>
        </is>
      </c>
      <c r="E8" s="38" t="inlineStr">
        <is>
          <t>막대 3칸</t>
        </is>
      </c>
      <c r="F8" s="38" t="inlineStr">
        <is>
          <t>A03, A04</t>
        </is>
      </c>
    </row>
    <row r="9">
      <c r="A9" s="38" t="n">
        <v>6</v>
      </c>
      <c r="B9" s="38" t="inlineStr">
        <is>
          <t>하트</t>
        </is>
      </c>
      <c r="C9" s="38" t="inlineStr">
        <is>
          <t>HP</t>
        </is>
      </c>
      <c r="D9" s="38" t="inlineStr">
        <is>
          <t>하트</t>
        </is>
      </c>
      <c r="E9" s="38" t="inlineStr">
        <is>
          <t>하트 아이콘 개수</t>
        </is>
      </c>
      <c r="F9" s="38" t="inlineStr">
        <is>
          <t>D01, D02</t>
        </is>
      </c>
    </row>
    <row r="10">
      <c r="A10" s="38" t="n">
        <v>7</v>
      </c>
      <c r="B10" s="38" t="inlineStr">
        <is>
          <t>목숨</t>
        </is>
      </c>
      <c r="C10" s="38" t="inlineStr">
        <is>
          <t>LIFE</t>
        </is>
      </c>
      <c r="D10" s="38" t="inlineStr">
        <is>
          <t>유령</t>
        </is>
      </c>
      <c r="E10" s="38" t="inlineStr">
        <is>
          <t>x3</t>
        </is>
      </c>
      <c r="F10" s="38" t="inlineStr">
        <is>
          <t>D07</t>
        </is>
      </c>
    </row>
    <row r="11">
      <c r="A11" s="38" t="n">
        <v>8</v>
      </c>
      <c r="B11" s="38" t="inlineStr">
        <is>
          <t>이동</t>
        </is>
      </c>
      <c r="C11" s="38" t="inlineStr">
        <is>
          <t>SPD</t>
        </is>
      </c>
      <c r="D11" s="38" t="inlineStr">
        <is>
          <t>신발</t>
        </is>
      </c>
      <c r="E11" s="38" t="inlineStr">
        <is>
          <t>막대 3칸</t>
        </is>
      </c>
      <c r="F11" s="38" t="inlineStr">
        <is>
          <t>M01</t>
        </is>
      </c>
    </row>
    <row r="12">
      <c r="A12" s="38" t="n">
        <v>9</v>
      </c>
      <c r="B12" s="38" t="inlineStr">
        <is>
          <t>점프</t>
        </is>
      </c>
      <c r="C12" s="38" t="inlineStr">
        <is>
          <t>JUMP</t>
        </is>
      </c>
      <c r="D12" s="38" t="inlineStr">
        <is>
          <t>구름</t>
        </is>
      </c>
      <c r="E12" s="38" t="inlineStr">
        <is>
          <t>공중 점프 횟수 (x1)</t>
        </is>
      </c>
      <c r="F12" s="38" t="inlineStr">
        <is>
          <t>M02, M03</t>
        </is>
      </c>
    </row>
    <row r="13">
      <c r="A13" s="38" t="n">
        <v>10</v>
      </c>
      <c r="B13" s="38" t="inlineStr">
        <is>
          <t>대시</t>
        </is>
      </c>
      <c r="C13" s="38" t="inlineStr">
        <is>
          <t>DASH</t>
        </is>
      </c>
      <c r="D13" s="38" t="inlineStr">
        <is>
          <t>잔상</t>
        </is>
      </c>
      <c r="E13" s="38" t="inlineStr">
        <is>
          <t>대시 칸 개수 (HUD와 같은 칸 모양)</t>
        </is>
      </c>
      <c r="F13" s="38" t="inlineStr">
        <is>
          <t>S01~S04</t>
        </is>
      </c>
    </row>
    <row r="14">
      <c r="A14" s="38" t="n">
        <v>11</v>
      </c>
      <c r="B14" s="38" t="inlineStr">
        <is>
          <t>필살기</t>
        </is>
      </c>
      <c r="C14" s="38" t="inlineStr">
        <is>
          <t>ULT</t>
        </is>
      </c>
      <c r="D14" s="38" t="inlineStr">
        <is>
          <t>장착한 필살기 아이콘</t>
        </is>
      </c>
      <c r="E14" s="38" t="inlineStr">
        <is>
          <t>필살기 이름 + 등급 테두리</t>
        </is>
      </c>
      <c r="F14" s="38" t="inlineStr">
        <is>
          <t>U10~U12</t>
        </is>
      </c>
    </row>
    <row r="15" ht="27" customHeight="1" s="37">
      <c r="A15" s="38" t="n">
        <v>12</v>
      </c>
      <c r="B15" s="38" t="inlineStr">
        <is>
          <t>얻은 특수 카드</t>
        </is>
      </c>
      <c r="C15" s="38" t="inlineStr">
        <is>
          <t>SKILLS</t>
        </is>
      </c>
      <c r="D15" s="38" t="inlineStr">
        <is>
          <t>카드별 아이콘</t>
        </is>
      </c>
      <c r="E15" s="38" t="inlineStr">
        <is>
          <t>4열 격자, 아이콘 테두리 = 카드 등급 색, 겹친 단계는 오른쪽 아래 작은 숫자</t>
        </is>
      </c>
      <c r="F15" s="38" t="inlineStr">
        <is>
          <t>능력치가 아닌 카드 전부 (관통, 유도, 무적 대시 등)</t>
        </is>
      </c>
    </row>
    <row r="18">
      <c r="A18" s="12" t="inlineStr">
        <is>
          <t>커서를 아이콘에 올리면 아래에 카드 이름과 효과 한 줄을 띄운다 (상점에서 ↑↓로 패널로 이동).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4" customWidth="1" style="37" min="1" max="1"/>
    <col width="22" customWidth="1" style="37" min="2" max="2"/>
    <col width="90" customWidth="1" style="37" min="3" max="3"/>
  </cols>
  <sheetData>
    <row r="1">
      <c r="A1" s="1" t="inlineStr">
        <is>
          <t>스테이지 1·2 구성 (0.4.0)</t>
        </is>
      </c>
    </row>
    <row r="2">
      <c r="A2" t="inlineStr">
        <is>
          <t>열 = 타일 x (1칸 32px), 바닥 윗면 = 15행. 배치 코드는 Source/Private/world/StageBuilder.cpp.</t>
        </is>
      </c>
    </row>
    <row r="4">
      <c r="A4" s="5" t="inlineStr">
        <is>
          <t>요소</t>
        </is>
      </c>
      <c r="B4" s="5" t="inlineStr">
        <is>
          <t>동작</t>
        </is>
      </c>
      <c r="C4" s="5" t="inlineStr">
        <is>
          <t>보상 / 규칙</t>
        </is>
      </c>
    </row>
    <row r="5">
      <c r="A5" s="38" t="inlineStr">
        <is>
          <t>매복 결투장</t>
        </is>
      </c>
      <c r="B5" s="38" t="inlineStr">
        <is>
          <t>들어오면 양 끝 열에 마법 벽이 생기고 카메라가 결투장 화면에 묶인다. 다음 웨이브 자리에 0.8~1초 동안 소환 마법진(정예는 금빛)이 돌고 적이 나온다. 0.4.1 긴장감: 화면 가장자리가 붉게 맥박치고, HUD 에 WAVE n/m 과 제한 시간 바(스테이지 1은 20초, 2는 16초). 마지막 5초는 빨갛게 깜빡이며 째깍 소리, 시간이 다 되면 남은 적이 있어도 다음 웨이브가 증원으로 나온다 (마지막 웨이브는 제한 없음)</t>
        </is>
      </c>
      <c r="C5" s="38" t="inlineStr">
        <is>
          <t>웨이브를 모두 잡으면 벽이 열리고 가운데에 보물상자가 떨어진다. 결투장 박쥐는 7~8행 (가운데 발판에 올라서면 맞는 높이). 제한 시간 안에 웨이브를 정리하면 남은 3초마다 코인 1 (FAST +n)</t>
        </is>
      </c>
    </row>
    <row r="6">
      <c r="A6" s="38" t="inlineStr">
        <is>
          <t>점프 버섯</t>
        </is>
      </c>
      <c r="B6" s="38" t="inlineStr">
        <is>
          <t>바닥에 박힌 분홍 버섯. 밟고 지나가기만 해도 약 9칸 높이로 튀어 오르고 공중 점프·공중 대시가 다시 찬다.</t>
        </is>
      </c>
      <c r="C6" s="38" t="inlineStr">
        <is>
          <t>절벽·가시밭을 넘거나 높은 길(숨은 상자)로 올라갈 때 쓴다</t>
        </is>
      </c>
    </row>
    <row r="7">
      <c r="A7" s="38" t="inlineStr">
        <is>
          <t>정예 적</t>
        </is>
      </c>
      <c r="B7" s="38" t="inlineStr">
        <is>
          <t>금빛 기운과 체력 바, 체력 3배 (최소 +40). 스킬을 쓰기 전 머리 위에 빨간 "!" 로 0.5초 예고</t>
        </is>
      </c>
      <c r="C7" s="38" t="inlineStr">
        <is>
          <t>경험치 4배, 코인 12, 하트 50%, 점수 500. 스킬(0.4.1): 슬라임 = 3초마다 플레이어 쪽으로 크게 뛰어들기, 쓰러지면 작은 슬라임 3 / 늑대 = 가까우면 빠르게 덮치기 / 마법사 = 부채꼴 3발 / 박쥐 = 3초마다 급강하 / 두꺼비 = 착지할 때 좌우 짧은 충격파</t>
        </is>
      </c>
    </row>
    <row r="8">
      <c r="A8" s="38" t="inlineStr">
        <is>
          <t>보물상자</t>
        </is>
      </c>
      <c r="B8" s="38" t="inlineStr">
        <is>
          <t>아래 지면으로 떨어져 앉아 반짝인다. 닿으면 열린다.</t>
        </is>
      </c>
      <c r="C8" s="38" t="inlineStr">
        <is>
          <t>코인 15 + 보너스 카드 1장 + 점수 300</t>
        </is>
      </c>
    </row>
    <row r="9">
      <c r="A9" s="38" t="inlineStr">
        <is>
          <t>깃발</t>
        </is>
      </c>
      <c r="B9" s="38" t="inlineStr">
        <is>
          <t>기둥 위로 뛰어넘어도 클리어되도록 판정을 화면 위끝까지 넓힘</t>
        </is>
      </c>
      <c r="C9" s="38" t="inlineStr">
        <is>
          <t>-</t>
        </is>
      </c>
    </row>
    <row r="10">
      <c r="A10" s="38" t="inlineStr">
        <is>
          <t>그림자 두꺼비 (0.4.1 새 적)</t>
        </is>
      </c>
      <c r="B10" s="38" t="inlineStr">
        <is>
          <t>웅크렸다가 플레이어 쪽으로 크게 뛰어든다 (멀면 제자리에서 작게). 체력 26+10x스테이지, 경험치 3. 0.4.2: 뛰기 전에 떨어질 자리를 보고 구덩이면 덜 뛰거나 제자리에서 뛴다</t>
        </is>
      </c>
      <c r="C10" s="38" t="inlineStr">
        <is>
          <t>스테이지 1·2 의 길과 결투장 웨이브에 섞여 나온다. 정예는 착지 충격파</t>
        </is>
      </c>
    </row>
    <row r="12">
      <c r="A12" s="5" t="inlineStr">
        <is>
          <t>스테이지</t>
        </is>
      </c>
      <c r="B12" s="5" t="inlineStr">
        <is>
          <t>구간 (열)</t>
        </is>
      </c>
      <c r="C12" s="5" t="inlineStr">
        <is>
          <t>내용</t>
        </is>
      </c>
    </row>
    <row r="13">
      <c r="A13" s="38" t="inlineStr">
        <is>
          <t>1 MISTY FIELDS (160칸)</t>
        </is>
      </c>
      <c r="B13" s="38" t="inlineStr">
        <is>
          <t>0~25</t>
        </is>
      </c>
      <c r="C13" s="38" t="inlineStr">
        <is>
          <t>슬라임 2, 첫 점프 버섯(6열) 위 발판의 코인, 구덩이</t>
        </is>
      </c>
    </row>
    <row r="14">
      <c r="A14" s="38" t="inlineStr"/>
      <c r="B14" s="38" t="inlineStr">
        <is>
          <t>26~55 결투장 1</t>
        </is>
      </c>
      <c r="C14" s="38" t="inlineStr">
        <is>
          <t>W1 슬라임 3 / W2 늑대 2 + 발판 위 슬라임</t>
        </is>
      </c>
    </row>
    <row r="15">
      <c r="A15" s="38" t="inlineStr"/>
      <c r="B15" s="38" t="inlineStr">
        <is>
          <t>56~99</t>
        </is>
      </c>
      <c r="C15" s="38" t="inlineStr">
        <is>
          <t>버섯으로 넘는 절벽(57열), 발판 위 마법사, 박쥐, 정예 늑대(81열), 버섯(86열) 위 높은 길의 숨은 상자(91열), 하트</t>
        </is>
      </c>
    </row>
    <row r="16">
      <c r="A16" s="38" t="inlineStr"/>
      <c r="B16" s="38" t="inlineStr">
        <is>
          <t>100~129 결투장 2</t>
        </is>
      </c>
      <c r="C16" s="38" t="inlineStr">
        <is>
          <t>W1 늑대 2 + 박쥐 2 / W2 마법사 2 + 슬라임 2 / W3 정예 늑대 + 슬라임 2</t>
        </is>
      </c>
    </row>
    <row r="17">
      <c r="A17" s="38" t="inlineStr"/>
      <c r="B17" s="38" t="inlineStr">
        <is>
          <t>130~159</t>
        </is>
      </c>
      <c r="C17" s="38" t="inlineStr">
        <is>
          <t>슬라임, 박쥐, 계단, 깃발(155열)</t>
        </is>
      </c>
    </row>
    <row r="18">
      <c r="A18" s="38" t="inlineStr">
        <is>
          <t>2 WHISPERING CAVE (180칸)</t>
        </is>
      </c>
      <c r="B18" s="38" t="inlineStr">
        <is>
          <t>0~39</t>
        </is>
      </c>
      <c r="C18" s="38" t="inlineStr">
        <is>
          <t>천장. 입구 적, 무너지는 다리, 버섯(28열)으로 넘는 가시밭</t>
        </is>
      </c>
    </row>
    <row r="19">
      <c r="A19" s="38" t="inlineStr"/>
      <c r="B19" s="38" t="inlineStr">
        <is>
          <t>40~69 결투장 1</t>
        </is>
      </c>
      <c r="C19" s="38" t="inlineStr">
        <is>
          <t>W1 슬라임 3 + 박쥐 / W2 마법사 2 + 늑대 2 / W3 정예 마법사 + 박쥐 2</t>
        </is>
      </c>
    </row>
    <row r="20">
      <c r="A20" s="38" t="inlineStr"/>
      <c r="B20" s="38" t="inlineStr">
        <is>
          <t>70~113</t>
        </is>
      </c>
      <c r="C20" s="38" t="inlineStr">
        <is>
          <t>무너지는 다리, 버섯(78열) + 가시밭, 정예 슬라임(89열), 버섯(95열) 위 천장 아래 숨은 상자(99열), 하트</t>
        </is>
      </c>
    </row>
    <row r="21">
      <c r="A21" s="38" t="inlineStr"/>
      <c r="B21" s="38" t="inlineStr">
        <is>
          <t>114~143 결투장 2</t>
        </is>
      </c>
      <c r="C21" s="38" t="inlineStr">
        <is>
          <t>W1 늑대 3 / W2 마법사 2 + 박쥐 2 + 슬라임 / W3 정예 늑대 + 정예 마법사 + 박쥐</t>
        </is>
      </c>
    </row>
    <row r="22">
      <c r="A22" s="38" t="inlineStr"/>
      <c r="B22" s="38" t="inlineStr">
        <is>
          <t>144~179</t>
        </is>
      </c>
      <c r="C22" s="38" t="inlineStr">
        <is>
          <t>버섯(148열) + 가시밭, 적, 계단, 깃발(176열)</t>
        </is>
      </c>
    </row>
    <row r="24">
      <c r="A24" s="1" t="inlineStr">
        <is>
          <t>검증 봇 (bot=1)</t>
        </is>
      </c>
    </row>
    <row r="25">
      <c r="A25" s="38" t="inlineStr">
        <is>
          <t>목표 재탐색</t>
        </is>
      </c>
      <c r="B25" s="38" t="inlineStr">
        <is>
          <t>30프레임마다 우선순위대로 목표를 다시 고른다: 결투장 적 &gt; 500px 안의 닫힌 보물상자 &gt; 지나쳐 버린 깃발 &gt; 전진</t>
        </is>
      </c>
      <c r="C25" s="42" t="n"/>
    </row>
    <row r="26">
      <c r="A26" s="38" t="inlineStr">
        <is>
          <t>결투장</t>
        </is>
      </c>
      <c r="B26" s="38" t="inlineStr">
        <is>
          <t>① 결투장 적만 목표 (같은 높이 우선) ② 위면 뛰어올라 발판, 아래면 발판 끝으로 내려감 ③ 120~260px 거리, 목표 쪽을 봄 ④ 계속 공격</t>
        </is>
      </c>
      <c r="C26" s="42" t="n"/>
    </row>
  </sheetData>
  <mergeCells count="3">
    <mergeCell ref="B25:C25"/>
    <mergeCell ref="A2:F2"/>
    <mergeCell ref="B24:C2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37" min="1" max="1"/>
    <col width="13" customWidth="1" style="37" min="2" max="2"/>
    <col width="11" customWidth="1" style="37" min="3" max="3"/>
    <col width="8" customWidth="1" style="37" min="4" max="4"/>
    <col width="8" customWidth="1" style="37" min="5" max="5"/>
    <col width="8" customWidth="1" style="37" min="6" max="6"/>
    <col width="8" customWidth="1" style="37" min="7" max="7"/>
    <col width="52" customWidth="1" style="37" min="8" max="8"/>
    <col width="40" customWidth="1" style="37" min="9" max="9"/>
    <col width="44" customWidth="1" style="37" min="10" max="10"/>
  </cols>
  <sheetData>
    <row r="1">
      <c r="A1" s="1" t="inlineStr">
        <is>
          <t>보스 패턴 정리 (VOIDMAW, LORD OF THE VOID)</t>
        </is>
      </c>
    </row>
    <row r="2" ht="42" customHeight="1" s="37">
      <c r="A2" s="43" t="inlineStr">
        <is>
          <t>보스 체력 3000 고정 (0.4.2: 피해 10단위. 예전 단위 600 을 목표로, 공격력 3단계 빌드에서 같은 타수가 되게). 체력 66% / 33% 아래로 내려가면 단계가 오르고(RAGE / FURY 배너) 카드를 1장씩 고른다. 단계마다 아래 목록에서 무작위로 고르며, 공격 사이 쉬는 시간은 60/48/36프레임. 수치는 "1단계 / 2단계 / 3단계" 순 (Source/Private/data/BossTuning.cpp). 60프레임 = 1초.</t>
        </is>
      </c>
    </row>
    <row r="3">
      <c r="A3" s="5" t="inlineStr">
        <is>
          <t>게임 표기</t>
        </is>
      </c>
      <c r="B3" s="5" t="inlineStr">
        <is>
          <t>한글 이름</t>
        </is>
      </c>
      <c r="C3" s="5" t="inlineStr">
        <is>
          <t>코드</t>
        </is>
      </c>
      <c r="D3" s="5" t="inlineStr">
        <is>
          <t>1단계</t>
        </is>
      </c>
      <c r="E3" s="5" t="inlineStr">
        <is>
          <t>2단계</t>
        </is>
      </c>
      <c r="F3" s="5" t="inlineStr">
        <is>
          <t>3단계</t>
        </is>
      </c>
      <c r="G3" s="5" t="inlineStr">
        <is>
          <t>분류</t>
        </is>
      </c>
      <c r="H3" s="5" t="inlineStr">
        <is>
          <t>동작</t>
        </is>
      </c>
      <c r="I3" s="5" t="inlineStr">
        <is>
          <t>피하는 법 / 빈틈</t>
        </is>
      </c>
      <c r="J3" s="5" t="inlineStr">
        <is>
          <t>주요 수치 (1/2/3단계)</t>
        </is>
      </c>
    </row>
    <row r="4">
      <c r="A4" s="38" t="inlineStr">
        <is>
          <t>DARK VOLLEY</t>
        </is>
      </c>
      <c r="B4" s="38" t="inlineStr">
        <is>
          <t>암흑탄</t>
        </is>
      </c>
      <c r="C4" s="38" t="inlineStr">
        <is>
          <t>Volley</t>
        </is>
      </c>
      <c r="D4" s="44" t="inlineStr">
        <is>
          <t>O</t>
        </is>
      </c>
      <c r="E4" s="44" t="inlineStr">
        <is>
          <t>O</t>
        </is>
      </c>
      <c r="F4" s="44" t="inlineStr">
        <is>
          <t>-</t>
        </is>
      </c>
      <c r="G4" s="38" t="inlineStr">
        <is>
          <t>원거리</t>
        </is>
      </c>
      <c r="H4" s="38" t="inlineStr">
        <is>
          <t>기를 모은 뒤 플레이어를 향해 부채꼴로 탄을 연속 발사</t>
        </is>
      </c>
      <c r="I4" s="38" t="inlineStr">
        <is>
          <t>부채꼴 사이 틈으로 빠지거나 옆으로 크게 이동</t>
        </is>
      </c>
      <c r="J4" s="38" t="inlineStr">
        <is>
          <t>탄 4/5/5발 × 2/2/3번, 속도 5.0/5.7/6.4</t>
        </is>
      </c>
    </row>
    <row r="5">
      <c r="A5" s="38" t="inlineStr">
        <is>
          <t>VOID RING</t>
        </is>
      </c>
      <c r="B5" s="38" t="inlineStr">
        <is>
          <t>공허의 고리</t>
        </is>
      </c>
      <c r="C5" s="38" t="inlineStr">
        <is>
          <t>Ring</t>
        </is>
      </c>
      <c r="D5" s="44" t="inlineStr">
        <is>
          <t>-</t>
        </is>
      </c>
      <c r="E5" s="44" t="inlineStr">
        <is>
          <t>-</t>
        </is>
      </c>
      <c r="F5" s="44" t="inlineStr">
        <is>
          <t>O</t>
        </is>
      </c>
      <c r="G5" s="38" t="inlineStr">
        <is>
          <t>원거리</t>
        </is>
      </c>
      <c r="H5" s="38" t="inlineStr">
        <is>
          <t>사방으로 퍼지는 원형 탄막을 여러 겹 (겹마다 엇갈림)</t>
        </is>
      </c>
      <c r="I5" s="38" t="inlineStr">
        <is>
          <t>겹 사이 틈으로 통과</t>
        </is>
      </c>
      <c r="J5" s="38" t="inlineStr">
        <is>
          <t>한 겹 10/12/14발 × 2/2/3겹, 속도 3.2/3.5/3.8</t>
        </is>
      </c>
    </row>
    <row r="6">
      <c r="A6" s="38" t="inlineStr">
        <is>
          <t>SUMMON</t>
        </is>
      </c>
      <c r="B6" s="38" t="inlineStr">
        <is>
          <t>소환</t>
        </is>
      </c>
      <c r="C6" s="38" t="inlineStr">
        <is>
          <t>Summon</t>
        </is>
      </c>
      <c r="D6" s="44" t="inlineStr">
        <is>
          <t>-</t>
        </is>
      </c>
      <c r="E6" s="44" t="inlineStr">
        <is>
          <t>O</t>
        </is>
      </c>
      <c r="F6" s="44" t="inlineStr">
        <is>
          <t>O</t>
        </is>
      </c>
      <c r="G6" s="38" t="inlineStr">
        <is>
          <t>소환</t>
        </is>
      </c>
      <c r="H6" s="38" t="inlineStr">
        <is>
          <t>양쪽에서 박쥐 2마리를 부름 (이미 4마리 이상이면 생략). 0.4.1: 박쥐가 순찰하지 않고 플레이어를 향해 천천히(1.7px/프레임) 날아옴</t>
        </is>
      </c>
      <c r="I6" s="38" t="inlineStr">
        <is>
          <t>박쥐를 먼저 정리. 다가오는 길목에 공을 깔아 둔다</t>
        </is>
      </c>
      <c r="J6" s="38" t="inlineStr">
        <is>
          <t>박쥐 2마리</t>
        </is>
      </c>
    </row>
    <row r="7">
      <c r="A7" s="38" t="inlineStr">
        <is>
          <t>SLAM</t>
        </is>
      </c>
      <c r="B7" s="38" t="inlineStr">
        <is>
          <t>내려찍기</t>
        </is>
      </c>
      <c r="C7" s="38" t="inlineStr">
        <is>
          <t>Slam</t>
        </is>
      </c>
      <c r="D7" s="44" t="inlineStr">
        <is>
          <t>-</t>
        </is>
      </c>
      <c r="E7" s="44" t="inlineStr">
        <is>
          <t>-</t>
        </is>
      </c>
      <c r="F7" s="44" t="inlineStr">
        <is>
          <t>O</t>
        </is>
      </c>
      <c r="G7" s="38" t="inlineStr">
        <is>
          <t>몸</t>
        </is>
      </c>
      <c r="H7" s="38" t="inlineStr">
        <is>
          <t>플레이어 위로 이동 → 급강하 → 좌우로 바닥 충격파</t>
        </is>
      </c>
      <c r="I7" s="38" t="inlineStr">
        <is>
          <t>충격파는 점프나 발판으로 피함. 착지 후 빈틈(피해 1.5배)</t>
        </is>
      </c>
      <c r="J7" s="38" t="inlineStr">
        <is>
          <t>준비 34/29/24, 빈틈 45/38/32, 충격파 속도 5.6/6.4/7.2</t>
        </is>
      </c>
    </row>
    <row r="8">
      <c r="A8" s="38" t="inlineStr">
        <is>
          <t>VOID BEAM</t>
        </is>
      </c>
      <c r="B8" s="38" t="inlineStr">
        <is>
          <t>공허 광선</t>
        </is>
      </c>
      <c r="C8" s="38" t="inlineStr">
        <is>
          <t>Beam</t>
        </is>
      </c>
      <c r="D8" s="44" t="inlineStr">
        <is>
          <t>-</t>
        </is>
      </c>
      <c r="E8" s="44" t="inlineStr">
        <is>
          <t>O</t>
        </is>
      </c>
      <c r="F8" s="44" t="inlineStr">
        <is>
          <t>O x2</t>
        </is>
      </c>
      <c r="G8" s="38" t="inlineStr">
        <is>
          <t>원거리</t>
        </is>
      </c>
      <c r="H8" s="38" t="inlineStr">
        <is>
          <t>조준선 예고 → 굵은 광선. 2단계부터 서서히 회전, 3단계는 더 빠르게</t>
        </is>
      </c>
      <c r="I8" s="38" t="inlineStr">
        <is>
          <t>조준선이 보이면 선 밖으로. 회전 방향 반대로 이동</t>
        </is>
      </c>
      <c r="J8" s="38" t="inlineStr">
        <is>
          <t>발사까지 68/60/52, 회전 0/0.010/0.022 rad/프레임</t>
        </is>
      </c>
    </row>
    <row r="9">
      <c r="A9" s="38" t="inlineStr">
        <is>
          <t>SHADOW RAIN</t>
        </is>
      </c>
      <c r="B9" s="38" t="inlineStr">
        <is>
          <t>어둠의 비</t>
        </is>
      </c>
      <c r="C9" s="38" t="inlineStr">
        <is>
          <t>Rain</t>
        </is>
      </c>
      <c r="D9" s="44" t="inlineStr">
        <is>
          <t>O</t>
        </is>
      </c>
      <c r="E9" s="44" t="inlineStr">
        <is>
          <t>-</t>
        </is>
      </c>
      <c r="F9" s="44" t="inlineStr">
        <is>
          <t>O</t>
        </is>
      </c>
      <c r="G9" s="38" t="inlineStr">
        <is>
          <t>원거리</t>
        </is>
      </c>
      <c r="H9" s="38" t="inlineStr">
        <is>
          <t>천장에서 마법구가 연달아 떨어짐 (3발 중 2발은 플레이어 위치를 노림)</t>
        </is>
      </c>
      <c r="I9" s="38" t="inlineStr">
        <is>
          <t>계속 움직이며 낙하 지점을 비켜 감</t>
        </is>
      </c>
      <c r="J9" s="38" t="inlineStr">
        <is>
          <t>간격 6/5/4, 지속 110/120/130, 속도 6.5/7.2/7.9</t>
        </is>
      </c>
    </row>
    <row r="10">
      <c r="A10" s="38" t="inlineStr">
        <is>
          <t>SHADOW PILLAR</t>
        </is>
      </c>
      <c r="B10" s="38" t="inlineStr">
        <is>
          <t>그림자 기둥</t>
        </is>
      </c>
      <c r="C10" s="38" t="inlineStr">
        <is>
          <t>Pillar</t>
        </is>
      </c>
      <c r="D10" s="44" t="inlineStr">
        <is>
          <t>O</t>
        </is>
      </c>
      <c r="E10" s="44" t="inlineStr">
        <is>
          <t>O</t>
        </is>
      </c>
      <c r="F10" s="44" t="inlineStr">
        <is>
          <t>O</t>
        </is>
      </c>
      <c r="G10" s="38" t="inlineStr">
        <is>
          <t>장판</t>
        </is>
      </c>
      <c r="H10" s="38" t="inlineStr">
        <is>
          <t>플레이어 주변 바닥에 마법진 예고 후 기둥 분출 (여러 번 연속). 0.3.0: 기둥이 화면 맨 위까지 솟음</t>
        </is>
      </c>
      <c r="I10" s="38" t="inlineStr">
        <is>
          <t>마법진 위에서 옆으로 벗어남 (점프·높은 발판으로는 못 피함)</t>
        </is>
      </c>
      <c r="J10" s="38" t="inlineStr">
        <is>
          <t>기둥 3/4/5개 × 2/2/3번, 예고 50/43/35</t>
        </is>
      </c>
    </row>
    <row r="11">
      <c r="A11" s="38" t="inlineStr">
        <is>
          <t>GROUND SWEEP</t>
        </is>
      </c>
      <c r="B11" s="38" t="inlineStr">
        <is>
          <t>바닥 질주</t>
        </is>
      </c>
      <c r="C11" s="38" t="inlineStr">
        <is>
          <t>Dash</t>
        </is>
      </c>
      <c r="D11" s="44" t="inlineStr">
        <is>
          <t>-</t>
        </is>
      </c>
      <c r="E11" s="44" t="inlineStr">
        <is>
          <t>O</t>
        </is>
      </c>
      <c r="F11" s="44" t="inlineStr">
        <is>
          <t>O</t>
        </is>
      </c>
      <c r="G11" s="38" t="inlineStr">
        <is>
          <t>몸</t>
        </is>
      </c>
      <c r="H11" s="38" t="inlineStr">
        <is>
          <t>반대편 벽으로 이동해 기를 모은 뒤 바닥을 가로질러 달림</t>
        </is>
      </c>
      <c r="I11" s="38" t="inlineStr">
        <is>
          <t>발판 위로 올라가거나 점프. 끝난 뒤 빈틈(1.5배)</t>
        </is>
      </c>
      <c r="J11" s="38" t="inlineStr">
        <is>
          <t>준비 40/33/28, 빈틈 38/32/26, 속도 12/14.5/17</t>
        </is>
      </c>
    </row>
    <row r="12">
      <c r="A12" s="38" t="inlineStr">
        <is>
          <t>BLINK</t>
        </is>
      </c>
      <c r="B12" s="38" t="inlineStr">
        <is>
          <t>순간이동</t>
        </is>
      </c>
      <c r="C12" s="38" t="inlineStr">
        <is>
          <t>Blink</t>
        </is>
      </c>
      <c r="D12" s="44" t="inlineStr">
        <is>
          <t>-</t>
        </is>
      </c>
      <c r="E12" s="44" t="inlineStr">
        <is>
          <t>O</t>
        </is>
      </c>
      <c r="F12" s="44" t="inlineStr">
        <is>
          <t>O</t>
        </is>
      </c>
      <c r="G12" s="38" t="inlineStr">
        <is>
          <t>원거리</t>
        </is>
      </c>
      <c r="H12" s="38" t="inlineStr">
        <is>
          <t>사라졌다가 반대편에 나타나 부채꼴 탄을 여러 번 (사라지는 동안 무적)</t>
        </is>
      </c>
      <c r="I12" s="38" t="inlineStr">
        <is>
          <t>나타난 위치를 보고 부채꼴 틈으로</t>
        </is>
      </c>
      <c r="J12" s="38" t="inlineStr">
        <is>
          <t>사격 2/2/3번 × 3/5/5발, 속도 5.2/5.8/6.4</t>
        </is>
      </c>
    </row>
    <row r="13">
      <c r="A13" s="38" t="inlineStr">
        <is>
          <t>SPIRAL</t>
        </is>
      </c>
      <c r="B13" s="38" t="inlineStr">
        <is>
          <t>소용돌이</t>
        </is>
      </c>
      <c r="C13" s="38" t="inlineStr">
        <is>
          <t>Spiral</t>
        </is>
      </c>
      <c r="D13" s="44" t="inlineStr">
        <is>
          <t>O</t>
        </is>
      </c>
      <c r="E13" s="44" t="inlineStr">
        <is>
          <t>O</t>
        </is>
      </c>
      <c r="F13" s="44" t="inlineStr">
        <is>
          <t>O</t>
        </is>
      </c>
      <c r="G13" s="38" t="inlineStr">
        <is>
          <t>원거리</t>
        </is>
      </c>
      <c r="H13" s="38" t="inlineStr">
        <is>
          <t>멀리서 회전하는 탄 줄기를 연달아 뿌림</t>
        </is>
      </c>
      <c r="I13" s="38" t="inlineStr">
        <is>
          <t>줄기가 도는 방향을 따라 돌며 틈으로</t>
        </is>
      </c>
      <c r="J13" s="38" t="inlineStr">
        <is>
          <t>줄기 2/3/3개, 간격 9/8/7, 지속 110/120/130, 속도 3.6/4.0/4.4</t>
        </is>
      </c>
    </row>
    <row r="14">
      <c r="A14" s="38" t="inlineStr">
        <is>
          <t>HOMING ORBS</t>
        </is>
      </c>
      <c r="B14" s="38" t="inlineStr">
        <is>
          <t>유도탄</t>
        </is>
      </c>
      <c r="C14" s="38" t="inlineStr">
        <is>
          <t>Homing</t>
        </is>
      </c>
      <c r="D14" s="44" t="inlineStr">
        <is>
          <t>-</t>
        </is>
      </c>
      <c r="E14" s="44" t="inlineStr">
        <is>
          <t>O</t>
        </is>
      </c>
      <c r="F14" s="44" t="inlineStr">
        <is>
          <t>O</t>
        </is>
      </c>
      <c r="G14" s="38" t="inlineStr">
        <is>
          <t>원거리</t>
        </is>
      </c>
      <c r="H14" s="38" t="inlineStr">
        <is>
          <t>플레이어를 향해 휘어지며 따라오는 구슬. 일정 시간 뒤 사라짐</t>
        </is>
      </c>
      <c r="I14" s="38" t="inlineStr">
        <is>
          <t>크게 빙 돌아 따돌림</t>
        </is>
      </c>
      <c r="J14" s="38" t="inlineStr">
        <is>
          <t>3/4/5발 × 1/2/2번, 속도 3.2/3.5/3.8, 회전 0.028/0.032/0.036</t>
        </is>
      </c>
    </row>
    <row r="15">
      <c r="A15" s="38" t="inlineStr">
        <is>
          <t>LUNGE</t>
        </is>
      </c>
      <c r="B15" s="38" t="inlineStr">
        <is>
          <t>돌격</t>
        </is>
      </c>
      <c r="C15" s="38" t="inlineStr">
        <is>
          <t>Lunge</t>
        </is>
      </c>
      <c r="D15" s="44" t="inlineStr">
        <is>
          <t>O</t>
        </is>
      </c>
      <c r="E15" s="44" t="inlineStr">
        <is>
          <t>O</t>
        </is>
      </c>
      <c r="F15" s="44" t="inlineStr">
        <is>
          <t>O x2</t>
        </is>
      </c>
      <c r="G15" s="38" t="inlineStr">
        <is>
          <t>몸</t>
        </is>
      </c>
      <c r="H15" s="38" t="inlineStr">
        <is>
          <t>조준선으로 플레이어 위치를 고정해 보여 준 뒤 그 선을 따라 몸으로 달려듦. 바닥에 닿으면 약 90px 미끄러지다 멈춤</t>
        </is>
      </c>
      <c r="I15" s="38" t="inlineStr">
        <is>
          <t>조준선이 고정되면 옆으로 대시. 끝난 뒤 빈틈(1.5배)</t>
        </is>
      </c>
      <c r="J15" s="38" t="inlineStr">
        <is>
          <t>예고 58/48/40, 추가 연속 1/2/3번, 빈틈 40/34/28, 속도 14/16/18</t>
        </is>
      </c>
    </row>
    <row r="16">
      <c r="A16" s="38" t="inlineStr">
        <is>
          <t>CROSSFIRE</t>
        </is>
      </c>
      <c r="B16" s="38" t="inlineStr">
        <is>
          <t>십자포화</t>
        </is>
      </c>
      <c r="C16" s="38" t="inlineStr">
        <is>
          <t>Crossfire</t>
        </is>
      </c>
      <c r="D16" s="44" t="inlineStr">
        <is>
          <t>O</t>
        </is>
      </c>
      <c r="E16" s="44" t="inlineStr">
        <is>
          <t>O</t>
        </is>
      </c>
      <c r="F16" s="44" t="inlineStr">
        <is>
          <t>O</t>
        </is>
      </c>
      <c r="G16" s="38" t="inlineStr">
        <is>
          <t>원거리</t>
        </is>
      </c>
      <c r="H16" s="38" t="inlineStr">
        <is>
          <t>양쪽 벽에서 가로 탄 줄이 번갈아 날아옴. 줄마다 이웃한 두 칸이 비어 있음 (틈은 아래 4줄 안)</t>
        </is>
      </c>
      <c r="I16" s="38" t="inlineStr">
        <is>
          <t>빈 두 칸 높이에 맞춰 서거나 발판으로 이동</t>
        </is>
      </c>
      <c r="J16" s="38" t="inlineStr">
        <is>
          <t>줄 5/6/7개 × 3/4/5번, 속도 4.4/5.0/5.6, 줄 간격 52px</t>
        </is>
      </c>
    </row>
    <row r="17">
      <c r="A17" s="38" t="inlineStr">
        <is>
          <t>VOID SWEEP</t>
        </is>
      </c>
      <c r="B17" s="38" t="inlineStr">
        <is>
          <t>허공 휩쓸기</t>
        </is>
      </c>
      <c r="C17" s="38" t="inlineStr">
        <is>
          <t>Sweep</t>
        </is>
      </c>
      <c r="D17" s="44" t="inlineStr">
        <is>
          <t>O</t>
        </is>
      </c>
      <c r="E17" s="44" t="inlineStr">
        <is>
          <t>O</t>
        </is>
      </c>
      <c r="F17" s="44" t="inlineStr">
        <is>
          <t>O</t>
        </is>
      </c>
      <c r="G17" s="38" t="inlineStr">
        <is>
          <t>원거리</t>
        </is>
      </c>
      <c r="H17" s="38" t="inlineStr">
        <is>
          <t>조준한 방향을 중심으로 탄 다발이 좌우로 부채꼴을 훑음</t>
        </is>
      </c>
      <c r="I17" s="38" t="inlineStr">
        <is>
          <t>훑는 폭 바깥으로 벗어남</t>
        </is>
      </c>
      <c r="J17" s="38" t="inlineStr">
        <is>
          <t>지속 100/120/140, 간격 10/9/8, 다발 2/3/3발, 폭 0.9/1.1/1.3 rad</t>
        </is>
      </c>
    </row>
    <row r="19">
      <c r="A19" s="1" t="inlineStr">
        <is>
          <t>단계별 패턴 목록 (같은 패턴이 두 번 있으면 그만큼 자주 나옴)</t>
        </is>
      </c>
    </row>
    <row r="20">
      <c r="A20" s="5" t="inlineStr">
        <is>
          <t>단계</t>
        </is>
      </c>
      <c r="B20" s="5" t="inlineStr">
        <is>
          <t>조건</t>
        </is>
      </c>
      <c r="C20" s="5" t="inlineStr">
        <is>
          <t>패턴 수</t>
        </is>
      </c>
      <c r="D20" s="5" t="inlineStr">
        <is>
          <t>패턴 목록</t>
        </is>
      </c>
    </row>
    <row r="21">
      <c r="A21" s="38" t="inlineStr">
        <is>
          <t>1단계</t>
        </is>
      </c>
      <c r="B21" s="38" t="inlineStr">
        <is>
          <t>체력 100~66%</t>
        </is>
      </c>
      <c r="C21" s="38" t="n">
        <v>7</v>
      </c>
      <c r="D21" s="38" t="inlineStr">
        <is>
          <t>DARK VOLLEY, SHADOW RAIN, SPIRAL, SHADOW PILLAR, LUNGE, VOID SWEEP, CROSSFIRE</t>
        </is>
      </c>
      <c r="E21" s="41" t="n"/>
      <c r="F21" s="41" t="n"/>
      <c r="G21" s="41" t="n"/>
      <c r="H21" s="41" t="n"/>
      <c r="I21" s="41" t="n"/>
      <c r="J21" s="42" t="n"/>
    </row>
    <row r="22">
      <c r="A22" s="38" t="inlineStr">
        <is>
          <t>2단계 RAGE</t>
        </is>
      </c>
      <c r="B22" s="38" t="inlineStr">
        <is>
          <t>체력 66~33%</t>
        </is>
      </c>
      <c r="C22" s="38" t="n">
        <v>11</v>
      </c>
      <c r="D22" s="38" t="inlineStr">
        <is>
          <t>DARK VOLLEY, HOMING ORBS, VOID BEAM, LUNGE, CROSSFIRE, SHADOW PILLAR, SUMMON, GROUND SWEEP, VOID SWEEP, SPIRAL, BLINK</t>
        </is>
      </c>
      <c r="E22" s="41" t="n"/>
      <c r="F22" s="41" t="n"/>
      <c r="G22" s="41" t="n"/>
      <c r="H22" s="41" t="n"/>
      <c r="I22" s="41" t="n"/>
      <c r="J22" s="42" t="n"/>
    </row>
    <row r="23">
      <c r="A23" s="38" t="inlineStr">
        <is>
          <t>3단계 FURY</t>
        </is>
      </c>
      <c r="B23" s="38" t="inlineStr">
        <is>
          <t>체력 33% 아래</t>
        </is>
      </c>
      <c r="C23" s="38" t="n">
        <v>15</v>
      </c>
      <c r="D23" s="38" t="inlineStr">
        <is>
          <t>VOID RING, SPIRAL, VOID BEAM, LUNGE, BLINK, CROSSFIRE, HOMING ORBS, SHADOW RAIN, SLAM, VOID SWEEP, GROUND SWEEP, LUNGE, SUMMON, SHADOW PILLAR, VOID BEAM</t>
        </is>
      </c>
      <c r="E23" s="41" t="n"/>
      <c r="F23" s="41" t="n"/>
      <c r="G23" s="41" t="n"/>
      <c r="H23" s="41" t="n"/>
      <c r="I23" s="41" t="n"/>
      <c r="J23" s="42" t="n"/>
    </row>
    <row r="25">
      <c r="A25" s="1" t="inlineStr">
        <is>
          <t>공통</t>
        </is>
      </c>
    </row>
    <row r="26">
      <c r="A26" s="38" t="inlineStr">
        <is>
          <t>이동</t>
        </is>
      </c>
      <c r="B26" s="38" t="inlineStr">
        <is>
          <t>플레이어와 약 320px 거리를 두고 둥실 떠다님. 속도 3.0/3.9/5.0</t>
        </is>
      </c>
      <c r="C26" s="41" t="n"/>
      <c r="D26" s="41" t="n"/>
      <c r="E26" s="41" t="n"/>
      <c r="F26" s="41" t="n"/>
      <c r="G26" s="41" t="n"/>
      <c r="H26" s="41" t="n"/>
      <c r="I26" s="41" t="n"/>
      <c r="J26" s="42" t="n"/>
    </row>
    <row r="27">
      <c r="A27" s="38" t="inlineStr">
        <is>
          <t>빈틈</t>
        </is>
      </c>
      <c r="B27" s="38" t="inlineStr">
        <is>
          <t>내려찍기·바닥 질주·돌격이 끝난 뒤에는 받는 피해 1.5배</t>
        </is>
      </c>
      <c r="C27" s="41" t="n"/>
      <c r="D27" s="41" t="n"/>
      <c r="E27" s="41" t="n"/>
      <c r="F27" s="41" t="n"/>
      <c r="G27" s="41" t="n"/>
      <c r="H27" s="41" t="n"/>
      <c r="I27" s="41" t="n"/>
      <c r="J27" s="42" t="n"/>
    </row>
    <row r="28">
      <c r="A28" s="38" t="inlineStr">
        <is>
          <t>보스전 발판</t>
        </is>
      </c>
      <c r="B28" s="38" t="inlineStr">
        <is>
          <t>0.2.3: 좌우 대칭 3층 (아래층 양 끝+가운데, 가운데층 둘, 맨 위 하나). 보스 탄과 플레이어 공은 뜬 발판을 뚫음</t>
        </is>
      </c>
      <c r="C28" s="41" t="n"/>
      <c r="D28" s="41" t="n"/>
      <c r="E28" s="41" t="n"/>
      <c r="F28" s="41" t="n"/>
      <c r="G28" s="41" t="n"/>
      <c r="H28" s="41" t="n"/>
      <c r="I28" s="41" t="n"/>
      <c r="J28" s="42" t="n"/>
    </row>
    <row r="29">
      <c r="A29" s="38" t="inlineStr">
        <is>
          <t>사망</t>
        </is>
      </c>
      <c r="B29" s="38" t="inlineStr">
        <is>
          <t>연쇄 폭발 → 보물 모자를 놓아줌 → 모자를 주우면 엔딩</t>
        </is>
      </c>
      <c r="C29" s="41" t="n"/>
      <c r="D29" s="41" t="n"/>
      <c r="E29" s="41" t="n"/>
      <c r="F29" s="41" t="n"/>
      <c r="G29" s="41" t="n"/>
      <c r="H29" s="41" t="n"/>
      <c r="I29" s="41" t="n"/>
      <c r="J29" s="42" t="n"/>
    </row>
  </sheetData>
  <mergeCells count="8">
    <mergeCell ref="B29:J29"/>
    <mergeCell ref="D22:J22"/>
    <mergeCell ref="B28:J28"/>
    <mergeCell ref="D21:J21"/>
    <mergeCell ref="B26:J26"/>
    <mergeCell ref="B27:J27"/>
    <mergeCell ref="A2:J2"/>
    <mergeCell ref="D23:J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2026-10-23T18:34:57Z</dcterms:created>
  <dcterms:modified xmlns:dcterms="http://purl.org/dc/terms/" xmlns:xsi="http://www.w3.org/2001/XMLSchema-instance" xsi:type="dcterms:W3CDTF">2026-10-24T11:58:57Z</dcterms:modified>
  <cp:lastModifiedBy>종민 백</cp:lastModifiedBy>
</cp:coreProperties>
</file>